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\proj\Comfy\comfyui_api_backend\apiBackend\reports\jedi_van_gogh_2\"/>
    </mc:Choice>
  </mc:AlternateContent>
  <xr:revisionPtr revIDLastSave="0" documentId="13_ncr:1_{4970D9F8-FC83-499D-BF13-B5835F52EB41}" xr6:coauthVersionLast="47" xr6:coauthVersionMax="47" xr10:uidLastSave="{00000000-0000-0000-0000-000000000000}"/>
  <bookViews>
    <workbookView xWindow="-110" yWindow="-110" windowWidth="25820" windowHeight="15500" xr2:uid="{98732E50-7E52-4062-9866-744A8D9142A5}"/>
  </bookViews>
  <sheets>
    <sheet name="metrics_log" sheetId="2" r:id="rId1"/>
  </sheets>
  <definedNames>
    <definedName name="ExternalData_1" localSheetId="0" hidden="1">metrics_log!$A$1:$M$101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03" i="2" l="1"/>
  <c r="K102" i="2"/>
  <c r="L102" i="2"/>
  <c r="J102" i="2"/>
  <c r="I102" i="2"/>
  <c r="F103" i="2"/>
  <c r="E102" i="2"/>
  <c r="F102" i="2"/>
  <c r="M102" i="2"/>
  <c r="H103" i="2"/>
  <c r="H102" i="2"/>
  <c r="G102" i="2"/>
  <c r="O44" i="2"/>
  <c r="O94" i="2"/>
  <c r="O31" i="2"/>
  <c r="O95" i="2"/>
  <c r="O65" i="2"/>
  <c r="O51" i="2"/>
  <c r="O78" i="2"/>
  <c r="O45" i="2"/>
  <c r="O69" i="2"/>
  <c r="O28" i="2"/>
  <c r="O54" i="2"/>
  <c r="O86" i="2"/>
  <c r="O25" i="2"/>
  <c r="O61" i="2"/>
  <c r="O59" i="2"/>
  <c r="O64" i="2"/>
  <c r="O47" i="2"/>
  <c r="O76" i="2"/>
  <c r="O43" i="2"/>
  <c r="O48" i="2"/>
  <c r="O66" i="2"/>
  <c r="O39" i="2"/>
  <c r="O50" i="2"/>
  <c r="O91" i="2"/>
  <c r="O63" i="2"/>
  <c r="O15" i="2"/>
  <c r="O77" i="2"/>
  <c r="O58" i="2"/>
  <c r="O56" i="2"/>
  <c r="O80" i="2"/>
  <c r="O62" i="2"/>
  <c r="O71" i="2"/>
  <c r="O87" i="2"/>
  <c r="O24" i="2"/>
  <c r="O18" i="2"/>
  <c r="O85" i="2"/>
  <c r="O32" i="2"/>
  <c r="O30" i="2"/>
  <c r="O12" i="2"/>
  <c r="O33" i="2"/>
  <c r="O20" i="2"/>
  <c r="O34" i="2"/>
  <c r="O6" i="2"/>
  <c r="O52" i="2"/>
  <c r="O46" i="2"/>
  <c r="O10" i="2"/>
  <c r="O82" i="2"/>
  <c r="O16" i="2"/>
  <c r="O89" i="2"/>
  <c r="O8" i="2"/>
  <c r="O92" i="2"/>
  <c r="O55" i="2"/>
  <c r="O93" i="2"/>
  <c r="O23" i="2"/>
  <c r="O73" i="2"/>
  <c r="O60" i="2"/>
  <c r="O14" i="2"/>
  <c r="O49" i="2"/>
  <c r="O29" i="2"/>
  <c r="O36" i="2"/>
  <c r="O53" i="2"/>
  <c r="O26" i="2"/>
  <c r="O9" i="2"/>
  <c r="O27" i="2"/>
  <c r="O88" i="2"/>
  <c r="O81" i="2"/>
  <c r="O74" i="2"/>
  <c r="O13" i="2"/>
  <c r="O67" i="2"/>
  <c r="O42" i="2"/>
  <c r="O7" i="2"/>
  <c r="O75" i="2"/>
  <c r="O38" i="2"/>
  <c r="O17" i="2"/>
  <c r="O97" i="2"/>
  <c r="O72" i="2"/>
  <c r="O70" i="2"/>
  <c r="O41" i="2"/>
  <c r="O90" i="2"/>
  <c r="O79" i="2"/>
  <c r="O83" i="2"/>
  <c r="O21" i="2"/>
  <c r="O19" i="2"/>
  <c r="O68" i="2"/>
  <c r="O37" i="2"/>
  <c r="O5" i="2"/>
  <c r="O4" i="2"/>
  <c r="O11" i="2"/>
  <c r="O99" i="2"/>
  <c r="O22" i="2"/>
  <c r="O57" i="2"/>
  <c r="O96" i="2"/>
  <c r="O100" i="2"/>
  <c r="O3" i="2"/>
  <c r="O40" i="2"/>
  <c r="O98" i="2"/>
  <c r="O35" i="2"/>
  <c r="O84" i="2"/>
  <c r="O101" i="2"/>
  <c r="O2" i="2"/>
  <c r="N63" i="2"/>
  <c r="N74" i="2"/>
  <c r="N23" i="2"/>
  <c r="N9" i="2"/>
  <c r="N6" i="2"/>
  <c r="N64" i="2"/>
  <c r="N16" i="2"/>
  <c r="N62" i="2"/>
  <c r="N43" i="2"/>
  <c r="N55" i="2"/>
  <c r="N82" i="2"/>
  <c r="N39" i="2"/>
  <c r="N31" i="2"/>
  <c r="N87" i="2"/>
  <c r="N44" i="2"/>
  <c r="N96" i="2"/>
  <c r="N11" i="2"/>
  <c r="N66" i="2"/>
  <c r="N77" i="2"/>
  <c r="N42" i="2"/>
  <c r="N69" i="2"/>
  <c r="N98" i="2"/>
  <c r="N46" i="2"/>
  <c r="N38" i="2"/>
  <c r="N72" i="2"/>
  <c r="N57" i="2"/>
  <c r="N28" i="2"/>
  <c r="N94" i="2"/>
  <c r="N49" i="2"/>
  <c r="N65" i="2"/>
  <c r="N18" i="2"/>
  <c r="N27" i="2"/>
  <c r="N58" i="2"/>
  <c r="N88" i="2"/>
  <c r="N15" i="2"/>
  <c r="N59" i="2"/>
  <c r="N89" i="2"/>
  <c r="N33" i="2"/>
  <c r="N79" i="2"/>
  <c r="N91" i="2"/>
  <c r="N97" i="2"/>
  <c r="N51" i="2"/>
  <c r="N70" i="2"/>
  <c r="N71" i="2"/>
  <c r="N37" i="2"/>
  <c r="N7" i="2"/>
  <c r="N60" i="2"/>
  <c r="N17" i="2"/>
  <c r="N13" i="2"/>
  <c r="N19" i="2"/>
  <c r="N8" i="2"/>
  <c r="N92" i="2"/>
  <c r="N53" i="2"/>
  <c r="N2" i="2"/>
  <c r="N86" i="2"/>
  <c r="N30" i="2"/>
  <c r="N80" i="2"/>
  <c r="N101" i="2"/>
  <c r="N41" i="2"/>
  <c r="N54" i="2"/>
  <c r="N78" i="2"/>
  <c r="N40" i="2"/>
  <c r="N48" i="2"/>
  <c r="N3" i="2"/>
  <c r="N29" i="2"/>
  <c r="N95" i="2"/>
  <c r="N100" i="2"/>
  <c r="N90" i="2"/>
  <c r="N81" i="2"/>
  <c r="N26" i="2"/>
  <c r="N67" i="2"/>
  <c r="N45" i="2"/>
  <c r="N12" i="2"/>
  <c r="N14" i="2"/>
  <c r="N32" i="2"/>
  <c r="N76" i="2"/>
  <c r="N61" i="2"/>
  <c r="N93" i="2"/>
  <c r="N85" i="2"/>
  <c r="N50" i="2"/>
  <c r="N5" i="2"/>
  <c r="N20" i="2"/>
  <c r="N47" i="2"/>
  <c r="N73" i="2"/>
  <c r="N10" i="2"/>
  <c r="N25" i="2"/>
  <c r="N24" i="2"/>
  <c r="N83" i="2"/>
  <c r="N35" i="2"/>
  <c r="N34" i="2"/>
  <c r="N84" i="2"/>
  <c r="N4" i="2"/>
  <c r="N36" i="2"/>
  <c r="N22" i="2"/>
  <c r="N21" i="2"/>
  <c r="N99" i="2"/>
  <c r="N52" i="2"/>
  <c r="N56" i="2"/>
  <c r="N75" i="2"/>
  <c r="N6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7B6527-7CC2-4611-8EBE-B004EDE57D1D}" keepAlive="1" name="Query - metrics_log" description="Connection to the 'metrics_log' query in the workbook." type="5" refreshedVersion="8" background="1" saveData="1">
    <dbPr connection="Provider=Microsoft.Mashup.OleDb.1;Data Source=$Workbook$;Location=metrics_log;Extended Properties=&quot;&quot;" command="SELECT * FROM [metrics_log]"/>
  </connection>
</connections>
</file>

<file path=xl/sharedStrings.xml><?xml version="1.0" encoding="utf-8"?>
<sst xmlns="http://schemas.openxmlformats.org/spreadsheetml/2006/main" count="215" uniqueCount="215">
  <si>
    <t>run_id</t>
  </si>
  <si>
    <t>seed</t>
  </si>
  <si>
    <t>img_v1</t>
  </si>
  <si>
    <t>img_v2</t>
  </si>
  <si>
    <t>clip_sub_v1</t>
  </si>
  <si>
    <t>clip_sub_v2</t>
  </si>
  <si>
    <t>clip_sty_v1</t>
  </si>
  <si>
    <t>clip_sty_v2</t>
  </si>
  <si>
    <t>lpips</t>
  </si>
  <si>
    <t>ssim</t>
  </si>
  <si>
    <t>sharpness_v1</t>
  </si>
  <si>
    <t>sharpness_v2</t>
  </si>
  <si>
    <t>color_dist</t>
  </si>
  <si>
    <t>G:\My Drive\ComfyUI\output\sdxl_00001_.png</t>
  </si>
  <si>
    <t>G:\My Drive\ComfyUI\output\sdxl_00104_.png</t>
  </si>
  <si>
    <t>G:\My Drive\ComfyUI\output\sdxl_00002_.png</t>
  </si>
  <si>
    <t>G:\My Drive\ComfyUI\output\sdxl_00105_.png</t>
  </si>
  <si>
    <t>G:\My Drive\ComfyUI\output\sdxl_00003_.png</t>
  </si>
  <si>
    <t>G:\My Drive\ComfyUI\output\sdxl_00106_.png</t>
  </si>
  <si>
    <t>G:\My Drive\ComfyUI\output\sdxl_00004_.png</t>
  </si>
  <si>
    <t>G:\My Drive\ComfyUI\output\sdxl_00107_.png</t>
  </si>
  <si>
    <t>G:\My Drive\ComfyUI\output\sdxl_00005_.png</t>
  </si>
  <si>
    <t>G:\My Drive\ComfyUI\output\sdxl_00108_.png</t>
  </si>
  <si>
    <t>G:\My Drive\ComfyUI\output\sdxl_00006_.png</t>
  </si>
  <si>
    <t>G:\My Drive\ComfyUI\output\sdxl_00109_.png</t>
  </si>
  <si>
    <t>G:\My Drive\ComfyUI\output\sdxl_00007_.png</t>
  </si>
  <si>
    <t>G:\My Drive\ComfyUI\output\sdxl_00110_.png</t>
  </si>
  <si>
    <t>G:\My Drive\ComfyUI\output\sdxl_00008_.png</t>
  </si>
  <si>
    <t>G:\My Drive\ComfyUI\output\sdxl_00111_.png</t>
  </si>
  <si>
    <t>G:\My Drive\ComfyUI\output\sdxl_00009_.png</t>
  </si>
  <si>
    <t>G:\My Drive\ComfyUI\output\sdxl_00112_.png</t>
  </si>
  <si>
    <t>G:\My Drive\ComfyUI\output\sdxl_00010_.png</t>
  </si>
  <si>
    <t>G:\My Drive\ComfyUI\output\sdxl_00113_.png</t>
  </si>
  <si>
    <t>G:\My Drive\ComfyUI\output\sdxl_00011_.png</t>
  </si>
  <si>
    <t>G:\My Drive\ComfyUI\output\sdxl_00114_.png</t>
  </si>
  <si>
    <t>G:\My Drive\ComfyUI\output\sdxl_00012_.png</t>
  </si>
  <si>
    <t>G:\My Drive\ComfyUI\output\sdxl_00115_.png</t>
  </si>
  <si>
    <t>G:\My Drive\ComfyUI\output\sdxl_00013_.png</t>
  </si>
  <si>
    <t>G:\My Drive\ComfyUI\output\sdxl_00116_.png</t>
  </si>
  <si>
    <t>G:\My Drive\ComfyUI\output\sdxl_00014_.png</t>
  </si>
  <si>
    <t>G:\My Drive\ComfyUI\output\sdxl_00117_.png</t>
  </si>
  <si>
    <t>G:\My Drive\ComfyUI\output\sdxl_00015_.png</t>
  </si>
  <si>
    <t>G:\My Drive\ComfyUI\output\sdxl_00118_.png</t>
  </si>
  <si>
    <t>G:\My Drive\ComfyUI\output\sdxl_00016_.png</t>
  </si>
  <si>
    <t>G:\My Drive\ComfyUI\output\sdxl_00119_.png</t>
  </si>
  <si>
    <t>G:\My Drive\ComfyUI\output\sdxl_00017_.png</t>
  </si>
  <si>
    <t>G:\My Drive\ComfyUI\output\sdxl_00120_.png</t>
  </si>
  <si>
    <t>G:\My Drive\ComfyUI\output\sdxl_00018_.png</t>
  </si>
  <si>
    <t>G:\My Drive\ComfyUI\output\sdxl_00121_.png</t>
  </si>
  <si>
    <t>G:\My Drive\ComfyUI\output\sdxl_00019_.png</t>
  </si>
  <si>
    <t>G:\My Drive\ComfyUI\output\sdxl_00122_.png</t>
  </si>
  <si>
    <t>G:\My Drive\ComfyUI\output\sdxl_00020_.png</t>
  </si>
  <si>
    <t>G:\My Drive\ComfyUI\output\sdxl_00123_.png</t>
  </si>
  <si>
    <t>G:\My Drive\ComfyUI\output\sdxl_00021_.png</t>
  </si>
  <si>
    <t>G:\My Drive\ComfyUI\output\sdxl_00124_.png</t>
  </si>
  <si>
    <t>G:\My Drive\ComfyUI\output\sdxl_00022_.png</t>
  </si>
  <si>
    <t>G:\My Drive\ComfyUI\output\sdxl_00125_.png</t>
  </si>
  <si>
    <t>G:\My Drive\ComfyUI\output\sdxl_00023_.png</t>
  </si>
  <si>
    <t>G:\My Drive\ComfyUI\output\sdxl_00126_.png</t>
  </si>
  <si>
    <t>G:\My Drive\ComfyUI\output\sdxl_00024_.png</t>
  </si>
  <si>
    <t>G:\My Drive\ComfyUI\output\sdxl_00127_.png</t>
  </si>
  <si>
    <t>G:\My Drive\ComfyUI\output\sdxl_00025_.png</t>
  </si>
  <si>
    <t>G:\My Drive\ComfyUI\output\sdxl_00128_.png</t>
  </si>
  <si>
    <t>G:\My Drive\ComfyUI\output\sdxl_00026_.png</t>
  </si>
  <si>
    <t>G:\My Drive\ComfyUI\output\sdxl_00129_.png</t>
  </si>
  <si>
    <t>G:\My Drive\ComfyUI\output\sdxl_00027_.png</t>
  </si>
  <si>
    <t>G:\My Drive\ComfyUI\output\sdxl_00130_.png</t>
  </si>
  <si>
    <t>G:\My Drive\ComfyUI\output\sdxl_00028_.png</t>
  </si>
  <si>
    <t>G:\My Drive\ComfyUI\output\sdxl_00131_.png</t>
  </si>
  <si>
    <t>G:\My Drive\ComfyUI\output\sdxl_00029_.png</t>
  </si>
  <si>
    <t>G:\My Drive\ComfyUI\output\sdxl_00132_.png</t>
  </si>
  <si>
    <t>G:\My Drive\ComfyUI\output\sdxl_00030_.png</t>
  </si>
  <si>
    <t>G:\My Drive\ComfyUI\output\sdxl_00133_.png</t>
  </si>
  <si>
    <t>G:\My Drive\ComfyUI\output\sdxl_00031_.png</t>
  </si>
  <si>
    <t>G:\My Drive\ComfyUI\output\sdxl_00134_.png</t>
  </si>
  <si>
    <t>G:\My Drive\ComfyUI\output\sdxl_00032_.png</t>
  </si>
  <si>
    <t>G:\My Drive\ComfyUI\output\sdxl_00135_.png</t>
  </si>
  <si>
    <t>G:\My Drive\ComfyUI\output\sdxl_00033_.png</t>
  </si>
  <si>
    <t>G:\My Drive\ComfyUI\output\sdxl_00136_.png</t>
  </si>
  <si>
    <t>G:\My Drive\ComfyUI\output\sdxl_00034_.png</t>
  </si>
  <si>
    <t>G:\My Drive\ComfyUI\output\sdxl_00137_.png</t>
  </si>
  <si>
    <t>G:\My Drive\ComfyUI\output\sdxl_00035_.png</t>
  </si>
  <si>
    <t>G:\My Drive\ComfyUI\output\sdxl_00138_.png</t>
  </si>
  <si>
    <t>G:\My Drive\ComfyUI\output\sdxl_00036_.png</t>
  </si>
  <si>
    <t>G:\My Drive\ComfyUI\output\sdxl_00139_.png</t>
  </si>
  <si>
    <t>G:\My Drive\ComfyUI\output\sdxl_00037_.png</t>
  </si>
  <si>
    <t>G:\My Drive\ComfyUI\output\sdxl_00140_.png</t>
  </si>
  <si>
    <t>G:\My Drive\ComfyUI\output\sdxl_00038_.png</t>
  </si>
  <si>
    <t>G:\My Drive\ComfyUI\output\sdxl_00141_.png</t>
  </si>
  <si>
    <t>G:\My Drive\ComfyUI\output\sdxl_00039_.png</t>
  </si>
  <si>
    <t>G:\My Drive\ComfyUI\output\sdxl_00142_.png</t>
  </si>
  <si>
    <t>G:\My Drive\ComfyUI\output\sdxl_00040_.png</t>
  </si>
  <si>
    <t>G:\My Drive\ComfyUI\output\sdxl_00143_.png</t>
  </si>
  <si>
    <t>G:\My Drive\ComfyUI\output\sdxl_00041_.png</t>
  </si>
  <si>
    <t>G:\My Drive\ComfyUI\output\sdxl_00144_.png</t>
  </si>
  <si>
    <t>G:\My Drive\ComfyUI\output\sdxl_00042_.png</t>
  </si>
  <si>
    <t>G:\My Drive\ComfyUI\output\sdxl_00145_.png</t>
  </si>
  <si>
    <t>G:\My Drive\ComfyUI\output\sdxl_00043_.png</t>
  </si>
  <si>
    <t>G:\My Drive\ComfyUI\output\sdxl_00146_.png</t>
  </si>
  <si>
    <t>G:\My Drive\ComfyUI\output\sdxl_00044_.png</t>
  </si>
  <si>
    <t>G:\My Drive\ComfyUI\output\sdxl_00147_.png</t>
  </si>
  <si>
    <t>G:\My Drive\ComfyUI\output\sdxl_00045_.png</t>
  </si>
  <si>
    <t>G:\My Drive\ComfyUI\output\sdxl_00148_.png</t>
  </si>
  <si>
    <t>G:\My Drive\ComfyUI\output\sdxl_00046_.png</t>
  </si>
  <si>
    <t>G:\My Drive\ComfyUI\output\sdxl_00149_.png</t>
  </si>
  <si>
    <t>G:\My Drive\ComfyUI\output\sdxl_00047_.png</t>
  </si>
  <si>
    <t>G:\My Drive\ComfyUI\output\sdxl_00150_.png</t>
  </si>
  <si>
    <t>G:\My Drive\ComfyUI\output\sdxl_00048_.png</t>
  </si>
  <si>
    <t>G:\My Drive\ComfyUI\output\sdxl_00151_.png</t>
  </si>
  <si>
    <t>G:\My Drive\ComfyUI\output\sdxl_00049_.png</t>
  </si>
  <si>
    <t>G:\My Drive\ComfyUI\output\sdxl_00152_.png</t>
  </si>
  <si>
    <t>G:\My Drive\ComfyUI\output\sdxl_00050_.png</t>
  </si>
  <si>
    <t>G:\My Drive\ComfyUI\output\sdxl_00153_.png</t>
  </si>
  <si>
    <t>G:\My Drive\ComfyUI\output\sdxl_00051_.png</t>
  </si>
  <si>
    <t>G:\My Drive\ComfyUI\output\sdxl_00154_.png</t>
  </si>
  <si>
    <t>G:\My Drive\ComfyUI\output\sdxl_00052_.png</t>
  </si>
  <si>
    <t>G:\My Drive\ComfyUI\output\sdxl_00155_.png</t>
  </si>
  <si>
    <t>G:\My Drive\ComfyUI\output\sdxl_00053_.png</t>
  </si>
  <si>
    <t>G:\My Drive\ComfyUI\output\sdxl_00156_.png</t>
  </si>
  <si>
    <t>G:\My Drive\ComfyUI\output\sdxl_00054_.png</t>
  </si>
  <si>
    <t>G:\My Drive\ComfyUI\output\sdxl_00157_.png</t>
  </si>
  <si>
    <t>G:\My Drive\ComfyUI\output\sdxl_00055_.png</t>
  </si>
  <si>
    <t>G:\My Drive\ComfyUI\output\sdxl_00158_.png</t>
  </si>
  <si>
    <t>G:\My Drive\ComfyUI\output\sdxl_00056_.png</t>
  </si>
  <si>
    <t>G:\My Drive\ComfyUI\output\sdxl_00159_.png</t>
  </si>
  <si>
    <t>G:\My Drive\ComfyUI\output\sdxl_00057_.png</t>
  </si>
  <si>
    <t>G:\My Drive\ComfyUI\output\sdxl_00160_.png</t>
  </si>
  <si>
    <t>G:\My Drive\ComfyUI\output\sdxl_00058_.png</t>
  </si>
  <si>
    <t>G:\My Drive\ComfyUI\output\sdxl_00161_.png</t>
  </si>
  <si>
    <t>G:\My Drive\ComfyUI\output\sdxl_00059_.png</t>
  </si>
  <si>
    <t>G:\My Drive\ComfyUI\output\sdxl_00162_.png</t>
  </si>
  <si>
    <t>G:\My Drive\ComfyUI\output\sdxl_00060_.png</t>
  </si>
  <si>
    <t>G:\My Drive\ComfyUI\output\sdxl_00163_.png</t>
  </si>
  <si>
    <t>G:\My Drive\ComfyUI\output\sdxl_00061_.png</t>
  </si>
  <si>
    <t>G:\My Drive\ComfyUI\output\sdxl_00164_.png</t>
  </si>
  <si>
    <t>G:\My Drive\ComfyUI\output\sdxl_00062_.png</t>
  </si>
  <si>
    <t>G:\My Drive\ComfyUI\output\sdxl_00165_.png</t>
  </si>
  <si>
    <t>G:\My Drive\ComfyUI\output\sdxl_00063_.png</t>
  </si>
  <si>
    <t>G:\My Drive\ComfyUI\output\sdxl_00166_.png</t>
  </si>
  <si>
    <t>G:\My Drive\ComfyUI\output\sdxl_00064_.png</t>
  </si>
  <si>
    <t>G:\My Drive\ComfyUI\output\sdxl_00167_.png</t>
  </si>
  <si>
    <t>G:\My Drive\ComfyUI\output\sdxl_00065_.png</t>
  </si>
  <si>
    <t>G:\My Drive\ComfyUI\output\sdxl_00168_.png</t>
  </si>
  <si>
    <t>G:\My Drive\ComfyUI\output\sdxl_00066_.png</t>
  </si>
  <si>
    <t>G:\My Drive\ComfyUI\output\sdxl_00169_.png</t>
  </si>
  <si>
    <t>G:\My Drive\ComfyUI\output\sdxl_00067_.png</t>
  </si>
  <si>
    <t>G:\My Drive\ComfyUI\output\sdxl_00170_.png</t>
  </si>
  <si>
    <t>G:\My Drive\ComfyUI\output\sdxl_00068_.png</t>
  </si>
  <si>
    <t>G:\My Drive\ComfyUI\output\sdxl_00171_.png</t>
  </si>
  <si>
    <t>G:\My Drive\ComfyUI\output\sdxl_00069_.png</t>
  </si>
  <si>
    <t>G:\My Drive\ComfyUI\output\sdxl_00172_.png</t>
  </si>
  <si>
    <t>G:\My Drive\ComfyUI\output\sdxl_00070_.png</t>
  </si>
  <si>
    <t>G:\My Drive\ComfyUI\output\sdxl_00173_.png</t>
  </si>
  <si>
    <t>G:\My Drive\ComfyUI\output\sdxl_00071_.png</t>
  </si>
  <si>
    <t>G:\My Drive\ComfyUI\output\sdxl_00174_.png</t>
  </si>
  <si>
    <t>G:\My Drive\ComfyUI\output\sdxl_00072_.png</t>
  </si>
  <si>
    <t>G:\My Drive\ComfyUI\output\sdxl_00175_.png</t>
  </si>
  <si>
    <t>G:\My Drive\ComfyUI\output\sdxl_00073_.png</t>
  </si>
  <si>
    <t>G:\My Drive\ComfyUI\output\sdxl_00176_.png</t>
  </si>
  <si>
    <t>G:\My Drive\ComfyUI\output\sdxl_00074_.png</t>
  </si>
  <si>
    <t>G:\My Drive\ComfyUI\output\sdxl_00177_.png</t>
  </si>
  <si>
    <t>G:\My Drive\ComfyUI\output\sdxl_00075_.png</t>
  </si>
  <si>
    <t>G:\My Drive\ComfyUI\output\sdxl_00178_.png</t>
  </si>
  <si>
    <t>G:\My Drive\ComfyUI\output\sdxl_00076_.png</t>
  </si>
  <si>
    <t>G:\My Drive\ComfyUI\output\sdxl_00179_.png</t>
  </si>
  <si>
    <t>G:\My Drive\ComfyUI\output\sdxl_00077_.png</t>
  </si>
  <si>
    <t>G:\My Drive\ComfyUI\output\sdxl_00180_.png</t>
  </si>
  <si>
    <t>G:\My Drive\ComfyUI\output\sdxl_00078_.png</t>
  </si>
  <si>
    <t>G:\My Drive\ComfyUI\output\sdxl_00181_.png</t>
  </si>
  <si>
    <t>G:\My Drive\ComfyUI\output\sdxl_00079_.png</t>
  </si>
  <si>
    <t>G:\My Drive\ComfyUI\output\sdxl_00182_.png</t>
  </si>
  <si>
    <t>G:\My Drive\ComfyUI\output\sdxl_00080_.png</t>
  </si>
  <si>
    <t>G:\My Drive\ComfyUI\output\sdxl_00183_.png</t>
  </si>
  <si>
    <t>G:\My Drive\ComfyUI\output\sdxl_00081_.png</t>
  </si>
  <si>
    <t>G:\My Drive\ComfyUI\output\sdxl_00184_.png</t>
  </si>
  <si>
    <t>G:\My Drive\ComfyUI\output\sdxl_00082_.png</t>
  </si>
  <si>
    <t>G:\My Drive\ComfyUI\output\sdxl_00185_.png</t>
  </si>
  <si>
    <t>G:\My Drive\ComfyUI\output\sdxl_00083_.png</t>
  </si>
  <si>
    <t>G:\My Drive\ComfyUI\output\sdxl_00186_.png</t>
  </si>
  <si>
    <t>G:\My Drive\ComfyUI\output\sdxl_00084_.png</t>
  </si>
  <si>
    <t>G:\My Drive\ComfyUI\output\sdxl_00187_.png</t>
  </si>
  <si>
    <t>G:\My Drive\ComfyUI\output\sdxl_00085_.png</t>
  </si>
  <si>
    <t>G:\My Drive\ComfyUI\output\sdxl_00188_.png</t>
  </si>
  <si>
    <t>G:\My Drive\ComfyUI\output\sdxl_00086_.png</t>
  </si>
  <si>
    <t>G:\My Drive\ComfyUI\output\sdxl_00189_.png</t>
  </si>
  <si>
    <t>G:\My Drive\ComfyUI\output\sdxl_00087_.png</t>
  </si>
  <si>
    <t>G:\My Drive\ComfyUI\output\sdxl_00190_.png</t>
  </si>
  <si>
    <t>G:\My Drive\ComfyUI\output\sdxl_00088_.png</t>
  </si>
  <si>
    <t>G:\My Drive\ComfyUI\output\sdxl_00191_.png</t>
  </si>
  <si>
    <t>G:\My Drive\ComfyUI\output\sdxl_00089_.png</t>
  </si>
  <si>
    <t>G:\My Drive\ComfyUI\output\sdxl_00192_.png</t>
  </si>
  <si>
    <t>G:\My Drive\ComfyUI\output\sdxl_00090_.png</t>
  </si>
  <si>
    <t>G:\My Drive\ComfyUI\output\sdxl_00193_.png</t>
  </si>
  <si>
    <t>G:\My Drive\ComfyUI\output\sdxl_00091_.png</t>
  </si>
  <si>
    <t>G:\My Drive\ComfyUI\output\sdxl_00194_.png</t>
  </si>
  <si>
    <t>G:\My Drive\ComfyUI\output\sdxl_00092_.png</t>
  </si>
  <si>
    <t>G:\My Drive\ComfyUI\output\sdxl_00195_.png</t>
  </si>
  <si>
    <t>G:\My Drive\ComfyUI\output\sdxl_00093_.png</t>
  </si>
  <si>
    <t>G:\My Drive\ComfyUI\output\sdxl_00196_.png</t>
  </si>
  <si>
    <t>G:\My Drive\ComfyUI\output\sdxl_00094_.png</t>
  </si>
  <si>
    <t>G:\My Drive\ComfyUI\output\sdxl_00197_.png</t>
  </si>
  <si>
    <t>G:\My Drive\ComfyUI\output\sdxl_00095_.png</t>
  </si>
  <si>
    <t>G:\My Drive\ComfyUI\output\sdxl_00198_.png</t>
  </si>
  <si>
    <t>G:\My Drive\ComfyUI\output\sdxl_00096_.png</t>
  </si>
  <si>
    <t>G:\My Drive\ComfyUI\output\sdxl_00199_.png</t>
  </si>
  <si>
    <t>G:\My Drive\ComfyUI\output\sdxl_00097_.png</t>
  </si>
  <si>
    <t>G:\My Drive\ComfyUI\output\sdxl_00200_.png</t>
  </si>
  <si>
    <t>G:\My Drive\ComfyUI\output\sdxl_00098_.png</t>
  </si>
  <si>
    <t>G:\My Drive\ComfyUI\output\sdxl_00201_.png</t>
  </si>
  <si>
    <t>G:\My Drive\ComfyUI\output\sdxl_00099_.png</t>
  </si>
  <si>
    <t>G:\My Drive\ComfyUI\output\sdxl_00202_.png</t>
  </si>
  <si>
    <t>G:\My Drive\ComfyUI\output\sdxl_00100_.png</t>
  </si>
  <si>
    <t>G:\My Drive\ComfyUI\output\sdxl_00203_.png</t>
  </si>
  <si>
    <t>sub</t>
  </si>
  <si>
    <t>sharpness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</si>
</sst>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458CC2B-B5C3-4C26-A0B8-9FCA9601F541}" autoFormatId="16" applyNumberFormats="0" applyBorderFormats="0" applyFontFormats="0" applyPatternFormats="0" applyAlignmentFormats="0" applyWidthHeightFormats="0">
  <queryTableRefresh nextId="16" unboundColumnsRight="2">
    <queryTableFields count="15">
      <queryTableField id="1" name="run_id" tableColumnId="1"/>
      <queryTableField id="2" name="seed" tableColumnId="2"/>
      <queryTableField id="3" name="img_v1" tableColumnId="3"/>
      <queryTableField id="4" name="img_v2" tableColumnId="4"/>
      <queryTableField id="5" name="clip_sub_v1" tableColumnId="5"/>
      <queryTableField id="6" name="clip_sub_v2" tableColumnId="6"/>
      <queryTableField id="7" name="clip_sty_v1" tableColumnId="7"/>
      <queryTableField id="8" name="clip_sty_v2" tableColumnId="8"/>
      <queryTableField id="9" name="lpips" tableColumnId="9"/>
      <queryTableField id="10" name="ssim" tableColumnId="10"/>
      <queryTableField id="11" name="sharpness_v1" tableColumnId="11"/>
      <queryTableField id="12" name="sharpness_v2" tableColumnId="12"/>
      <queryTableField id="13" name="color_dist" tableColumnId="13"/>
      <queryTableField id="14" dataBound="0" tableColumnId="14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16E056-9F40-49EE-BDC3-535DE160A1D2}" name="metrics_log" displayName="metrics_log" ref="A1:O102" tableType="queryTable" totalsRowCount="1">
  <autoFilter ref="A1:O101" xr:uid="{FF16E056-9F40-49EE-BDC3-535DE160A1D2}"/>
  <sortState xmlns:xlrd2="http://schemas.microsoft.com/office/spreadsheetml/2017/richdata2" ref="A2:O101">
    <sortCondition descending="1" ref="O1:O101"/>
  </sortState>
  <tableColumns count="15">
    <tableColumn id="1" xr3:uid="{06D9EF60-F738-43F0-939C-7291846874E1}" uniqueName="1" name="run_id" queryTableFieldId="1"/>
    <tableColumn id="2" xr3:uid="{1247D2B9-B6BE-4DD8-9AA0-3F07DAB5B1E0}" uniqueName="2" name="seed" queryTableFieldId="2"/>
    <tableColumn id="3" xr3:uid="{69096298-40A6-4A01-8052-2909CF525C44}" uniqueName="3" name="img_v1" queryTableFieldId="3" dataDxfId="7" totalsRowDxfId="6"/>
    <tableColumn id="4" xr3:uid="{BD8614DB-7855-4E90-8A9E-E2C511DDA7DC}" uniqueName="4" name="img_v2" queryTableFieldId="4" dataDxfId="5" totalsRowDxfId="4"/>
    <tableColumn id="5" xr3:uid="{66F49E69-BB64-406A-B395-608C7581DD89}" uniqueName="5" name="clip_sub_v1" totalsRowFunction="custom" queryTableFieldId="5">
      <totalsRowFormula>AVERAGE(E2:E101)</totalsRowFormula>
    </tableColumn>
    <tableColumn id="6" xr3:uid="{27C6D920-F8D1-452E-8969-7348B68BE094}" uniqueName="6" name="clip_sub_v2" totalsRowFunction="custom" queryTableFieldId="6">
      <totalsRowFormula>AVERAGE(F2:F101)</totalsRowFormula>
    </tableColumn>
    <tableColumn id="7" xr3:uid="{0E121A30-59A6-4E6E-9AD6-9E2FA7A48374}" uniqueName="7" name="clip_sty_v1" totalsRowFunction="custom" queryTableFieldId="7">
      <totalsRowFormula>AVERAGE(G2:G101)</totalsRowFormula>
    </tableColumn>
    <tableColumn id="8" xr3:uid="{51BEF1F3-D99A-4F75-AA97-FB6D7F985B72}" uniqueName="8" name="clip_sty_v2" totalsRowFunction="custom" queryTableFieldId="8">
      <totalsRowFormula>AVERAGE(H2:H101)</totalsRowFormula>
    </tableColumn>
    <tableColumn id="9" xr3:uid="{B00EF49B-C9E4-479D-9AC7-C335835EC70E}" uniqueName="9" name="lpips" totalsRowFunction="custom" queryTableFieldId="9">
      <totalsRowFormula>AVERAGE(I2:I101)</totalsRowFormula>
    </tableColumn>
    <tableColumn id="10" xr3:uid="{F8BBBC1B-B166-40C5-863E-545220621B9C}" uniqueName="10" name="ssim" totalsRowFunction="custom" queryTableFieldId="10">
      <totalsRowFormula>AVERAGE(J2:J101)</totalsRowFormula>
    </tableColumn>
    <tableColumn id="11" xr3:uid="{188BC482-462C-4766-8E1F-B3021A5A0FE6}" uniqueName="11" name="sharpness_v1" totalsRowFunction="custom" queryTableFieldId="11">
      <totalsRowFormula>AVERAGE(K2:K101)</totalsRowFormula>
    </tableColumn>
    <tableColumn id="12" xr3:uid="{12AFAEE7-E581-4D80-9D74-1B9458242508}" uniqueName="12" name="sharpness_v2" totalsRowFunction="custom" queryTableFieldId="12">
      <totalsRowFormula>AVERAGE(L2:L101)</totalsRowFormula>
    </tableColumn>
    <tableColumn id="13" xr3:uid="{D1F0CA1C-7AB0-4B53-9796-6306222B77EF}" uniqueName="13" name="color_dist" totalsRowFunction="custom" queryTableFieldId="13">
      <totalsRowFormula>AVERAGE(M2:M101)</totalsRowFormula>
    </tableColumn>
    <tableColumn id="14" xr3:uid="{2327E47F-DDF3-4432-B466-672AE6F2925D}" uniqueName="14" name="sub" queryTableFieldId="14" dataDxfId="3" totalsRowDxfId="2">
      <calculatedColumnFormula>metrics_log[[#This Row],[clip_sub_v2]]-metrics_log[[#This Row],[clip_sub_v1]]</calculatedColumnFormula>
    </tableColumn>
    <tableColumn id="15" xr3:uid="{D0A142EF-63CE-40A8-A37F-40CDE029AC0A}" uniqueName="15" name="sharpness" queryTableFieldId="15" dataDxfId="1" totalsRowDxfId="0">
      <calculatedColumnFormula>metrics_log[[#This Row],[sharpness_v2]]-metrics_log[[#This Row],[sharpness_v1]]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A3399-2FF7-4C34-B99C-FB6AD5E8C4F2}">
  <dimension ref="A1:O103"/>
  <sheetViews>
    <sheetView tabSelected="1" topLeftCell="B82" zoomScale="145" zoomScaleNormal="145" workbookViewId="0">
      <selection activeCell="L102" sqref="L102"/>
    </sheetView>
  </sheetViews>
  <sheetFormatPr defaultRowHeight="14.5" x14ac:dyDescent="0.35"/>
  <cols>
    <col min="1" max="1" width="3.1796875" customWidth="1"/>
    <col min="2" max="2" width="11.81640625" bestFit="1" customWidth="1"/>
    <col min="3" max="3" width="17.7265625" customWidth="1"/>
    <col min="4" max="4" width="14.1796875" customWidth="1"/>
    <col min="5" max="5" width="10.453125" customWidth="1"/>
    <col min="6" max="6" width="9.7265625" customWidth="1"/>
    <col min="7" max="7" width="7.26953125" customWidth="1"/>
    <col min="8" max="8" width="6.90625" customWidth="1"/>
    <col min="9" max="9" width="7.26953125" bestFit="1" customWidth="1"/>
    <col min="10" max="10" width="7.08984375" bestFit="1" customWidth="1"/>
    <col min="11" max="11" width="7" customWidth="1"/>
    <col min="12" max="12" width="7.90625" customWidth="1"/>
    <col min="13" max="13" width="9.26953125" customWidth="1"/>
    <col min="14" max="14" width="7.453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213</v>
      </c>
      <c r="O1" t="s">
        <v>214</v>
      </c>
    </row>
    <row r="2" spans="1:15" x14ac:dyDescent="0.35">
      <c r="A2">
        <v>54</v>
      </c>
      <c r="B2">
        <v>5.8979742890800445E+18</v>
      </c>
      <c r="C2" s="1" t="s">
        <v>119</v>
      </c>
      <c r="D2" s="1" t="s">
        <v>120</v>
      </c>
      <c r="E2">
        <v>0.34910000000000002</v>
      </c>
      <c r="F2">
        <v>0.31030000000000002</v>
      </c>
      <c r="G2">
        <v>0.27389999999999998</v>
      </c>
      <c r="H2">
        <v>0.29799999999999999</v>
      </c>
      <c r="I2">
        <v>0.56940000000000002</v>
      </c>
      <c r="J2">
        <v>0.19919999999999999</v>
      </c>
      <c r="K2">
        <v>637.61</v>
      </c>
      <c r="L2">
        <v>2817.43</v>
      </c>
      <c r="M2">
        <v>0.85629999999999995</v>
      </c>
      <c r="N2">
        <f>metrics_log[[#This Row],[clip_sub_v2]]-metrics_log[[#This Row],[clip_sub_v1]]</f>
        <v>-3.8800000000000001E-2</v>
      </c>
      <c r="O2">
        <f>metrics_log[[#This Row],[sharpness_v2]]-metrics_log[[#This Row],[sharpness_v1]]</f>
        <v>2179.8199999999997</v>
      </c>
    </row>
    <row r="3" spans="1:15" x14ac:dyDescent="0.35">
      <c r="A3">
        <v>64</v>
      </c>
      <c r="B3">
        <v>3.6900540827820201E+18</v>
      </c>
      <c r="C3" s="1" t="s">
        <v>139</v>
      </c>
      <c r="D3" s="1" t="s">
        <v>140</v>
      </c>
      <c r="E3">
        <v>0.35110000000000002</v>
      </c>
      <c r="F3">
        <v>0.31059999999999999</v>
      </c>
      <c r="G3">
        <v>0.30299999999999999</v>
      </c>
      <c r="H3">
        <v>0.32290000000000002</v>
      </c>
      <c r="I3">
        <v>0.55479999999999996</v>
      </c>
      <c r="J3">
        <v>0.33079999999999998</v>
      </c>
      <c r="K3">
        <v>436.04</v>
      </c>
      <c r="L3">
        <v>750.43</v>
      </c>
      <c r="M3">
        <v>0.69979999999999998</v>
      </c>
      <c r="N3">
        <f>metrics_log[[#This Row],[clip_sub_v2]]-metrics_log[[#This Row],[clip_sub_v1]]</f>
        <v>-4.0500000000000036E-2</v>
      </c>
      <c r="O3">
        <f>metrics_log[[#This Row],[sharpness_v2]]-metrics_log[[#This Row],[sharpness_v1]]</f>
        <v>314.38999999999993</v>
      </c>
    </row>
    <row r="4" spans="1:15" x14ac:dyDescent="0.35">
      <c r="A4">
        <v>92</v>
      </c>
      <c r="B4">
        <v>8.0217548046925015E+18</v>
      </c>
      <c r="C4" s="1" t="s">
        <v>195</v>
      </c>
      <c r="D4" s="1" t="s">
        <v>196</v>
      </c>
      <c r="E4">
        <v>0.35909999999999997</v>
      </c>
      <c r="F4">
        <v>0.31080000000000002</v>
      </c>
      <c r="G4">
        <v>0.28639999999999999</v>
      </c>
      <c r="H4">
        <v>0.3206</v>
      </c>
      <c r="I4">
        <v>0.55469999999999997</v>
      </c>
      <c r="J4">
        <v>0.33789999999999998</v>
      </c>
      <c r="K4">
        <v>450.85</v>
      </c>
      <c r="L4">
        <v>748.89</v>
      </c>
      <c r="M4">
        <v>0.80510000000000004</v>
      </c>
      <c r="N4">
        <f>metrics_log[[#This Row],[clip_sub_v2]]-metrics_log[[#This Row],[clip_sub_v1]]</f>
        <v>-4.8299999999999954E-2</v>
      </c>
      <c r="O4">
        <f>metrics_log[[#This Row],[sharpness_v2]]-metrics_log[[#This Row],[sharpness_v1]]</f>
        <v>298.03999999999996</v>
      </c>
    </row>
    <row r="5" spans="1:15" x14ac:dyDescent="0.35">
      <c r="A5">
        <v>81</v>
      </c>
      <c r="B5">
        <v>6.837350622307754E+18</v>
      </c>
      <c r="C5" s="1" t="s">
        <v>173</v>
      </c>
      <c r="D5" s="1" t="s">
        <v>174</v>
      </c>
      <c r="E5">
        <v>0.3599</v>
      </c>
      <c r="F5">
        <v>0.3095</v>
      </c>
      <c r="G5">
        <v>0.30220000000000002</v>
      </c>
      <c r="H5">
        <v>0.3246</v>
      </c>
      <c r="I5">
        <v>0.56010000000000004</v>
      </c>
      <c r="J5">
        <v>0.33850000000000002</v>
      </c>
      <c r="K5">
        <v>384.31</v>
      </c>
      <c r="L5">
        <v>618.35</v>
      </c>
      <c r="M5">
        <v>0.83140000000000003</v>
      </c>
      <c r="N5">
        <f>metrics_log[[#This Row],[clip_sub_v2]]-metrics_log[[#This Row],[clip_sub_v1]]</f>
        <v>-5.04E-2</v>
      </c>
      <c r="O5">
        <f>metrics_log[[#This Row],[sharpness_v2]]-metrics_log[[#This Row],[sharpness_v1]]</f>
        <v>234.04000000000002</v>
      </c>
    </row>
    <row r="6" spans="1:15" x14ac:dyDescent="0.35">
      <c r="A6">
        <v>5</v>
      </c>
      <c r="B6">
        <v>5.6424304849381366E+18</v>
      </c>
      <c r="C6" s="1" t="s">
        <v>21</v>
      </c>
      <c r="D6" s="1" t="s">
        <v>22</v>
      </c>
      <c r="E6">
        <v>0.3604</v>
      </c>
      <c r="F6">
        <v>0.3075</v>
      </c>
      <c r="G6">
        <v>0.2863</v>
      </c>
      <c r="H6">
        <v>0.30230000000000001</v>
      </c>
      <c r="I6">
        <v>0.54949999999999999</v>
      </c>
      <c r="J6">
        <v>0.38450000000000001</v>
      </c>
      <c r="K6">
        <v>475.78</v>
      </c>
      <c r="L6">
        <v>689.36</v>
      </c>
      <c r="M6">
        <v>0.78739999999999999</v>
      </c>
      <c r="N6">
        <f>metrics_log[[#This Row],[clip_sub_v2]]-metrics_log[[#This Row],[clip_sub_v1]]</f>
        <v>-5.2900000000000003E-2</v>
      </c>
      <c r="O6">
        <f>metrics_log[[#This Row],[sharpness_v2]]-metrics_log[[#This Row],[sharpness_v1]]</f>
        <v>213.58000000000004</v>
      </c>
    </row>
    <row r="7" spans="1:15" x14ac:dyDescent="0.35">
      <c r="A7">
        <v>46</v>
      </c>
      <c r="B7">
        <v>6.579316916713208E+16</v>
      </c>
      <c r="C7" s="1" t="s">
        <v>103</v>
      </c>
      <c r="D7" s="1" t="s">
        <v>104</v>
      </c>
      <c r="E7">
        <v>0.34610000000000002</v>
      </c>
      <c r="F7">
        <v>0.3306</v>
      </c>
      <c r="G7">
        <v>0.31769999999999998</v>
      </c>
      <c r="H7">
        <v>0.33960000000000001</v>
      </c>
      <c r="I7">
        <v>0.55810000000000004</v>
      </c>
      <c r="J7">
        <v>0.36080000000000001</v>
      </c>
      <c r="K7">
        <v>431.77</v>
      </c>
      <c r="L7">
        <v>638.71</v>
      </c>
      <c r="M7">
        <v>0.75739999999999996</v>
      </c>
      <c r="N7">
        <f>metrics_log[[#This Row],[clip_sub_v2]]-metrics_log[[#This Row],[clip_sub_v1]]</f>
        <v>-1.5500000000000014E-2</v>
      </c>
      <c r="O7">
        <f>metrics_log[[#This Row],[sharpness_v2]]-metrics_log[[#This Row],[sharpness_v1]]</f>
        <v>206.94000000000005</v>
      </c>
    </row>
    <row r="8" spans="1:15" x14ac:dyDescent="0.35">
      <c r="A8">
        <v>51</v>
      </c>
      <c r="B8">
        <v>5.128010484302551E+18</v>
      </c>
      <c r="C8" s="1" t="s">
        <v>113</v>
      </c>
      <c r="D8" s="1" t="s">
        <v>114</v>
      </c>
      <c r="E8">
        <v>0.36249999999999999</v>
      </c>
      <c r="F8">
        <v>0.31919999999999998</v>
      </c>
      <c r="G8">
        <v>0.318</v>
      </c>
      <c r="H8">
        <v>0.31850000000000001</v>
      </c>
      <c r="I8">
        <v>0.54930000000000001</v>
      </c>
      <c r="J8">
        <v>0.37730000000000002</v>
      </c>
      <c r="K8">
        <v>522.24</v>
      </c>
      <c r="L8">
        <v>726.06</v>
      </c>
      <c r="M8">
        <v>0.74450000000000005</v>
      </c>
      <c r="N8">
        <f>metrics_log[[#This Row],[clip_sub_v2]]-metrics_log[[#This Row],[clip_sub_v1]]</f>
        <v>-4.3300000000000005E-2</v>
      </c>
      <c r="O8">
        <f>metrics_log[[#This Row],[sharpness_v2]]-metrics_log[[#This Row],[sharpness_v1]]</f>
        <v>203.81999999999994</v>
      </c>
    </row>
    <row r="9" spans="1:15" x14ac:dyDescent="0.35">
      <c r="A9">
        <v>4</v>
      </c>
      <c r="B9">
        <v>9.0403406435813755E+18</v>
      </c>
      <c r="C9" s="1" t="s">
        <v>19</v>
      </c>
      <c r="D9" s="1" t="s">
        <v>20</v>
      </c>
      <c r="E9">
        <v>0.3705</v>
      </c>
      <c r="F9">
        <v>0.33500000000000002</v>
      </c>
      <c r="G9">
        <v>0.31180000000000002</v>
      </c>
      <c r="H9">
        <v>0.3301</v>
      </c>
      <c r="I9">
        <v>0.52829999999999999</v>
      </c>
      <c r="J9">
        <v>0.36480000000000001</v>
      </c>
      <c r="K9">
        <v>381.69</v>
      </c>
      <c r="L9">
        <v>566.84</v>
      </c>
      <c r="M9">
        <v>0.82889999999999997</v>
      </c>
      <c r="N9">
        <f>metrics_log[[#This Row],[clip_sub_v2]]-metrics_log[[#This Row],[clip_sub_v1]]</f>
        <v>-3.5499999999999976E-2</v>
      </c>
      <c r="O9">
        <f>metrics_log[[#This Row],[sharpness_v2]]-metrics_log[[#This Row],[sharpness_v1]]</f>
        <v>185.15000000000003</v>
      </c>
    </row>
    <row r="10" spans="1:15" x14ac:dyDescent="0.35">
      <c r="A10">
        <v>85</v>
      </c>
      <c r="B10">
        <v>1.4860274529561674E+18</v>
      </c>
      <c r="C10" s="1" t="s">
        <v>181</v>
      </c>
      <c r="D10" s="1" t="s">
        <v>182</v>
      </c>
      <c r="E10">
        <v>0.33739999999999998</v>
      </c>
      <c r="F10">
        <v>0.31240000000000001</v>
      </c>
      <c r="G10">
        <v>0.2455</v>
      </c>
      <c r="H10">
        <v>0.31709999999999999</v>
      </c>
      <c r="I10">
        <v>0.59219999999999995</v>
      </c>
      <c r="J10">
        <v>0.3805</v>
      </c>
      <c r="K10">
        <v>382.33</v>
      </c>
      <c r="L10">
        <v>557.66</v>
      </c>
      <c r="M10">
        <v>0.78859999999999997</v>
      </c>
      <c r="N10">
        <f>metrics_log[[#This Row],[clip_sub_v2]]-metrics_log[[#This Row],[clip_sub_v1]]</f>
        <v>-2.4999999999999967E-2</v>
      </c>
      <c r="O10">
        <f>metrics_log[[#This Row],[sharpness_v2]]-metrics_log[[#This Row],[sharpness_v1]]</f>
        <v>175.32999999999998</v>
      </c>
    </row>
    <row r="11" spans="1:15" x14ac:dyDescent="0.35">
      <c r="A11">
        <v>17</v>
      </c>
      <c r="B11">
        <v>1.048537662410721E+18</v>
      </c>
      <c r="C11" s="1" t="s">
        <v>45</v>
      </c>
      <c r="D11" s="1" t="s">
        <v>46</v>
      </c>
      <c r="E11">
        <v>0.38119999999999998</v>
      </c>
      <c r="F11">
        <v>0.31319999999999998</v>
      </c>
      <c r="G11">
        <v>0.29859999999999998</v>
      </c>
      <c r="H11">
        <v>0.31919999999999998</v>
      </c>
      <c r="I11">
        <v>0.59650000000000003</v>
      </c>
      <c r="J11">
        <v>0.3372</v>
      </c>
      <c r="K11">
        <v>438.48</v>
      </c>
      <c r="L11">
        <v>612.78</v>
      </c>
      <c r="M11">
        <v>0.69010000000000005</v>
      </c>
      <c r="N11">
        <f>metrics_log[[#This Row],[clip_sub_v2]]-metrics_log[[#This Row],[clip_sub_v1]]</f>
        <v>-6.8000000000000005E-2</v>
      </c>
      <c r="O11">
        <f>metrics_log[[#This Row],[sharpness_v2]]-metrics_log[[#This Row],[sharpness_v1]]</f>
        <v>174.29999999999995</v>
      </c>
    </row>
    <row r="12" spans="1:15" x14ac:dyDescent="0.35">
      <c r="A12">
        <v>73</v>
      </c>
      <c r="B12">
        <v>1.767473031952286E+18</v>
      </c>
      <c r="C12" s="1" t="s">
        <v>157</v>
      </c>
      <c r="D12" s="1" t="s">
        <v>158</v>
      </c>
      <c r="E12">
        <v>0.34660000000000002</v>
      </c>
      <c r="F12">
        <v>0.3145</v>
      </c>
      <c r="G12">
        <v>0.311</v>
      </c>
      <c r="H12">
        <v>0.34620000000000001</v>
      </c>
      <c r="I12">
        <v>0.55030000000000001</v>
      </c>
      <c r="J12">
        <v>0.38990000000000002</v>
      </c>
      <c r="K12">
        <v>394.44</v>
      </c>
      <c r="L12">
        <v>560.73</v>
      </c>
      <c r="M12">
        <v>0.78480000000000005</v>
      </c>
      <c r="N12">
        <f>metrics_log[[#This Row],[clip_sub_v2]]-metrics_log[[#This Row],[clip_sub_v1]]</f>
        <v>-3.2100000000000017E-2</v>
      </c>
      <c r="O12">
        <f>metrics_log[[#This Row],[sharpness_v2]]-metrics_log[[#This Row],[sharpness_v1]]</f>
        <v>166.29000000000002</v>
      </c>
    </row>
    <row r="13" spans="1:15" x14ac:dyDescent="0.35">
      <c r="A13">
        <v>49</v>
      </c>
      <c r="B13">
        <v>4.2695931451321769E+18</v>
      </c>
      <c r="C13" s="1" t="s">
        <v>109</v>
      </c>
      <c r="D13" s="1" t="s">
        <v>110</v>
      </c>
      <c r="E13">
        <v>0.33189999999999997</v>
      </c>
      <c r="F13">
        <v>0.33829999999999999</v>
      </c>
      <c r="G13">
        <v>0.25469999999999998</v>
      </c>
      <c r="H13">
        <v>0.3357</v>
      </c>
      <c r="I13">
        <v>0.55059999999999998</v>
      </c>
      <c r="J13">
        <v>0.3624</v>
      </c>
      <c r="K13">
        <v>379.3</v>
      </c>
      <c r="L13">
        <v>540.29999999999995</v>
      </c>
      <c r="M13">
        <v>0.85150000000000003</v>
      </c>
      <c r="N13">
        <f>metrics_log[[#This Row],[clip_sub_v2]]-metrics_log[[#This Row],[clip_sub_v1]]</f>
        <v>6.4000000000000168E-3</v>
      </c>
      <c r="O13">
        <f>metrics_log[[#This Row],[sharpness_v2]]-metrics_log[[#This Row],[sharpness_v1]]</f>
        <v>160.99999999999994</v>
      </c>
    </row>
    <row r="14" spans="1:15" x14ac:dyDescent="0.35">
      <c r="A14">
        <v>74</v>
      </c>
      <c r="B14">
        <v>1.8464143050220513E+18</v>
      </c>
      <c r="C14" s="1" t="s">
        <v>159</v>
      </c>
      <c r="D14" s="1" t="s">
        <v>160</v>
      </c>
      <c r="E14">
        <v>0.36</v>
      </c>
      <c r="F14">
        <v>0.31669999999999998</v>
      </c>
      <c r="G14">
        <v>0.317</v>
      </c>
      <c r="H14">
        <v>0.33889999999999998</v>
      </c>
      <c r="I14">
        <v>0.55610000000000004</v>
      </c>
      <c r="J14">
        <v>0.36980000000000002</v>
      </c>
      <c r="K14">
        <v>447.34</v>
      </c>
      <c r="L14">
        <v>588.02</v>
      </c>
      <c r="M14">
        <v>0.83740000000000003</v>
      </c>
      <c r="N14">
        <f>metrics_log[[#This Row],[clip_sub_v2]]-metrics_log[[#This Row],[clip_sub_v1]]</f>
        <v>-4.3300000000000005E-2</v>
      </c>
      <c r="O14">
        <f>metrics_log[[#This Row],[sharpness_v2]]-metrics_log[[#This Row],[sharpness_v1]]</f>
        <v>140.68</v>
      </c>
    </row>
    <row r="15" spans="1:15" x14ac:dyDescent="0.35">
      <c r="A15">
        <v>35</v>
      </c>
      <c r="B15">
        <v>7.0809036455489157E+18</v>
      </c>
      <c r="C15" s="1" t="s">
        <v>81</v>
      </c>
      <c r="D15" s="1" t="s">
        <v>82</v>
      </c>
      <c r="E15">
        <v>0.35249999999999998</v>
      </c>
      <c r="F15">
        <v>0.33329999999999999</v>
      </c>
      <c r="G15">
        <v>0.29210000000000003</v>
      </c>
      <c r="H15">
        <v>0.34050000000000002</v>
      </c>
      <c r="I15">
        <v>0.5635</v>
      </c>
      <c r="J15">
        <v>0.40079999999999999</v>
      </c>
      <c r="K15">
        <v>479.55</v>
      </c>
      <c r="L15">
        <v>614.27</v>
      </c>
      <c r="M15">
        <v>0.78639999999999999</v>
      </c>
      <c r="N15">
        <f>metrics_log[[#This Row],[clip_sub_v2]]-metrics_log[[#This Row],[clip_sub_v1]]</f>
        <v>-1.9199999999999995E-2</v>
      </c>
      <c r="O15">
        <f>metrics_log[[#This Row],[sharpness_v2]]-metrics_log[[#This Row],[sharpness_v1]]</f>
        <v>134.71999999999997</v>
      </c>
    </row>
    <row r="16" spans="1:15" x14ac:dyDescent="0.35">
      <c r="A16">
        <v>7</v>
      </c>
      <c r="B16">
        <v>1.6320466633550052E+18</v>
      </c>
      <c r="C16" s="1" t="s">
        <v>25</v>
      </c>
      <c r="D16" s="1" t="s">
        <v>26</v>
      </c>
      <c r="E16">
        <v>0.36080000000000001</v>
      </c>
      <c r="F16">
        <v>0.3211</v>
      </c>
      <c r="G16">
        <v>0.30620000000000003</v>
      </c>
      <c r="H16">
        <v>0.32550000000000001</v>
      </c>
      <c r="I16">
        <v>0.51549999999999996</v>
      </c>
      <c r="J16">
        <v>0.38</v>
      </c>
      <c r="K16">
        <v>543.75</v>
      </c>
      <c r="L16">
        <v>677</v>
      </c>
      <c r="M16">
        <v>0.77900000000000003</v>
      </c>
      <c r="N16">
        <f>metrics_log[[#This Row],[clip_sub_v2]]-metrics_log[[#This Row],[clip_sub_v1]]</f>
        <v>-3.9700000000000013E-2</v>
      </c>
      <c r="O16">
        <f>metrics_log[[#This Row],[sharpness_v2]]-metrics_log[[#This Row],[sharpness_v1]]</f>
        <v>133.25</v>
      </c>
    </row>
    <row r="17" spans="1:15" x14ac:dyDescent="0.35">
      <c r="A17">
        <v>48</v>
      </c>
      <c r="B17">
        <v>6.0113898424652237E+18</v>
      </c>
      <c r="C17" s="1" t="s">
        <v>107</v>
      </c>
      <c r="D17" s="1" t="s">
        <v>108</v>
      </c>
      <c r="E17">
        <v>0.36380000000000001</v>
      </c>
      <c r="F17">
        <v>0.3266</v>
      </c>
      <c r="G17">
        <v>0.30859999999999999</v>
      </c>
      <c r="H17">
        <v>0.34179999999999999</v>
      </c>
      <c r="I17">
        <v>0.5655</v>
      </c>
      <c r="J17">
        <v>0.3589</v>
      </c>
      <c r="K17">
        <v>515.54</v>
      </c>
      <c r="L17">
        <v>643.55999999999995</v>
      </c>
      <c r="M17">
        <v>0.77780000000000005</v>
      </c>
      <c r="N17">
        <f>metrics_log[[#This Row],[clip_sub_v2]]-metrics_log[[#This Row],[clip_sub_v1]]</f>
        <v>-3.7200000000000011E-2</v>
      </c>
      <c r="O17">
        <f>metrics_log[[#This Row],[sharpness_v2]]-metrics_log[[#This Row],[sharpness_v1]]</f>
        <v>128.01999999999998</v>
      </c>
    </row>
    <row r="18" spans="1:15" x14ac:dyDescent="0.35">
      <c r="A18">
        <v>31</v>
      </c>
      <c r="B18">
        <v>7.9260368401783181E+17</v>
      </c>
      <c r="C18" s="1" t="s">
        <v>73</v>
      </c>
      <c r="D18" s="1" t="s">
        <v>74</v>
      </c>
      <c r="E18">
        <v>0.36249999999999999</v>
      </c>
      <c r="F18">
        <v>0.33289999999999997</v>
      </c>
      <c r="G18">
        <v>0.2878</v>
      </c>
      <c r="H18">
        <v>0.33169999999999999</v>
      </c>
      <c r="I18">
        <v>0.52939999999999998</v>
      </c>
      <c r="J18">
        <v>0.39150000000000001</v>
      </c>
      <c r="K18">
        <v>360.17</v>
      </c>
      <c r="L18">
        <v>485.05</v>
      </c>
      <c r="M18">
        <v>0.79310000000000003</v>
      </c>
      <c r="N18">
        <f>metrics_log[[#This Row],[clip_sub_v2]]-metrics_log[[#This Row],[clip_sub_v1]]</f>
        <v>-2.9600000000000015E-2</v>
      </c>
      <c r="O18">
        <f>metrics_log[[#This Row],[sharpness_v2]]-metrics_log[[#This Row],[sharpness_v1]]</f>
        <v>124.88</v>
      </c>
    </row>
    <row r="19" spans="1:15" x14ac:dyDescent="0.35">
      <c r="A19">
        <v>50</v>
      </c>
      <c r="B19">
        <v>2.5812894086819917E+18</v>
      </c>
      <c r="C19" s="1" t="s">
        <v>111</v>
      </c>
      <c r="D19" s="1" t="s">
        <v>112</v>
      </c>
      <c r="E19">
        <v>0.3654</v>
      </c>
      <c r="F19">
        <v>0.32340000000000002</v>
      </c>
      <c r="G19">
        <v>0.29659999999999997</v>
      </c>
      <c r="H19">
        <v>0.32200000000000001</v>
      </c>
      <c r="I19">
        <v>0.61550000000000005</v>
      </c>
      <c r="J19">
        <v>0.3458</v>
      </c>
      <c r="K19">
        <v>471.23</v>
      </c>
      <c r="L19">
        <v>595.57000000000005</v>
      </c>
      <c r="M19">
        <v>0.77049999999999996</v>
      </c>
      <c r="N19">
        <f>metrics_log[[#This Row],[clip_sub_v2]]-metrics_log[[#This Row],[clip_sub_v1]]</f>
        <v>-4.1999999999999982E-2</v>
      </c>
      <c r="O19">
        <f>metrics_log[[#This Row],[sharpness_v2]]-metrics_log[[#This Row],[sharpness_v1]]</f>
        <v>124.34000000000003</v>
      </c>
    </row>
    <row r="20" spans="1:15" x14ac:dyDescent="0.35">
      <c r="A20">
        <v>82</v>
      </c>
      <c r="B20">
        <v>1.5704972673713889E+18</v>
      </c>
      <c r="C20" s="1" t="s">
        <v>175</v>
      </c>
      <c r="D20" s="1" t="s">
        <v>176</v>
      </c>
      <c r="E20">
        <v>0.34820000000000001</v>
      </c>
      <c r="F20">
        <v>0.3362</v>
      </c>
      <c r="G20">
        <v>0.26540000000000002</v>
      </c>
      <c r="H20">
        <v>0.33510000000000001</v>
      </c>
      <c r="I20">
        <v>0.52710000000000001</v>
      </c>
      <c r="J20">
        <v>0.38729999999999998</v>
      </c>
      <c r="K20">
        <v>501.65</v>
      </c>
      <c r="L20">
        <v>619.91</v>
      </c>
      <c r="M20">
        <v>0.78010000000000002</v>
      </c>
      <c r="N20">
        <f>metrics_log[[#This Row],[clip_sub_v2]]-metrics_log[[#This Row],[clip_sub_v1]]</f>
        <v>-1.2000000000000011E-2</v>
      </c>
      <c r="O20">
        <f>metrics_log[[#This Row],[sharpness_v2]]-metrics_log[[#This Row],[sharpness_v1]]</f>
        <v>118.25999999999999</v>
      </c>
    </row>
    <row r="21" spans="1:15" x14ac:dyDescent="0.35">
      <c r="A21">
        <v>95</v>
      </c>
      <c r="B21">
        <v>5.9225958281903002E+18</v>
      </c>
      <c r="C21" s="1" t="s">
        <v>201</v>
      </c>
      <c r="D21" s="1" t="s">
        <v>202</v>
      </c>
      <c r="E21">
        <v>0.36659999999999998</v>
      </c>
      <c r="F21">
        <v>0.3286</v>
      </c>
      <c r="G21">
        <v>0.27589999999999998</v>
      </c>
      <c r="H21">
        <v>0.34</v>
      </c>
      <c r="I21">
        <v>0.51249999999999996</v>
      </c>
      <c r="J21">
        <v>0.34620000000000001</v>
      </c>
      <c r="K21">
        <v>595.71</v>
      </c>
      <c r="L21">
        <v>712.85</v>
      </c>
      <c r="M21">
        <v>0.73950000000000005</v>
      </c>
      <c r="N21">
        <f>metrics_log[[#This Row],[clip_sub_v2]]-metrics_log[[#This Row],[clip_sub_v1]]</f>
        <v>-3.7999999999999978E-2</v>
      </c>
      <c r="O21">
        <f>metrics_log[[#This Row],[sharpness_v2]]-metrics_log[[#This Row],[sharpness_v1]]</f>
        <v>117.13999999999999</v>
      </c>
    </row>
    <row r="22" spans="1:15" x14ac:dyDescent="0.35">
      <c r="A22">
        <v>94</v>
      </c>
      <c r="B22">
        <v>4.8160156068077292E+18</v>
      </c>
      <c r="C22" s="1" t="s">
        <v>199</v>
      </c>
      <c r="D22" s="1" t="s">
        <v>200</v>
      </c>
      <c r="E22">
        <v>0.38640000000000002</v>
      </c>
      <c r="F22">
        <v>0.34739999999999999</v>
      </c>
      <c r="G22">
        <v>0.32229999999999998</v>
      </c>
      <c r="H22">
        <v>0.34520000000000001</v>
      </c>
      <c r="I22">
        <v>0.44009999999999999</v>
      </c>
      <c r="J22">
        <v>0.33350000000000002</v>
      </c>
      <c r="K22">
        <v>641.91</v>
      </c>
      <c r="L22">
        <v>755.75</v>
      </c>
      <c r="M22">
        <v>0.75960000000000005</v>
      </c>
      <c r="N22">
        <f>metrics_log[[#This Row],[clip_sub_v2]]-metrics_log[[#This Row],[clip_sub_v1]]</f>
        <v>-3.9000000000000035E-2</v>
      </c>
      <c r="O22">
        <f>metrics_log[[#This Row],[sharpness_v2]]-metrics_log[[#This Row],[sharpness_v1]]</f>
        <v>113.84000000000003</v>
      </c>
    </row>
    <row r="23" spans="1:15" x14ac:dyDescent="0.35">
      <c r="A23">
        <v>3</v>
      </c>
      <c r="B23">
        <v>9.080525167784704E+18</v>
      </c>
      <c r="C23" s="1" t="s">
        <v>17</v>
      </c>
      <c r="D23" s="1" t="s">
        <v>18</v>
      </c>
      <c r="E23">
        <v>0.35849999999999999</v>
      </c>
      <c r="F23">
        <v>0.32679999999999998</v>
      </c>
      <c r="G23">
        <v>0.30690000000000001</v>
      </c>
      <c r="H23">
        <v>0.32050000000000001</v>
      </c>
      <c r="I23">
        <v>0.58799999999999997</v>
      </c>
      <c r="J23">
        <v>0.37309999999999999</v>
      </c>
      <c r="K23">
        <v>455.38</v>
      </c>
      <c r="L23">
        <v>565.45000000000005</v>
      </c>
      <c r="M23">
        <v>0.82730000000000004</v>
      </c>
      <c r="N23">
        <f>metrics_log[[#This Row],[clip_sub_v2]]-metrics_log[[#This Row],[clip_sub_v1]]</f>
        <v>-3.1700000000000006E-2</v>
      </c>
      <c r="O23">
        <f>metrics_log[[#This Row],[sharpness_v2]]-metrics_log[[#This Row],[sharpness_v1]]</f>
        <v>110.07000000000005</v>
      </c>
    </row>
    <row r="24" spans="1:15" x14ac:dyDescent="0.35">
      <c r="A24">
        <v>87</v>
      </c>
      <c r="B24">
        <v>1.6024424673379581E+18</v>
      </c>
      <c r="C24" s="1" t="s">
        <v>185</v>
      </c>
      <c r="D24" s="1" t="s">
        <v>186</v>
      </c>
      <c r="E24">
        <v>0.34770000000000001</v>
      </c>
      <c r="F24">
        <v>0.32890000000000003</v>
      </c>
      <c r="G24">
        <v>0.2908</v>
      </c>
      <c r="H24">
        <v>0.3281</v>
      </c>
      <c r="I24">
        <v>0.56110000000000004</v>
      </c>
      <c r="J24">
        <v>0.39169999999999999</v>
      </c>
      <c r="K24">
        <v>522.47</v>
      </c>
      <c r="L24">
        <v>628.24</v>
      </c>
      <c r="M24">
        <v>0.7429</v>
      </c>
      <c r="N24">
        <f>metrics_log[[#This Row],[clip_sub_v2]]-metrics_log[[#This Row],[clip_sub_v1]]</f>
        <v>-1.8799999999999983E-2</v>
      </c>
      <c r="O24">
        <f>metrics_log[[#This Row],[sharpness_v2]]-metrics_log[[#This Row],[sharpness_v1]]</f>
        <v>105.76999999999998</v>
      </c>
    </row>
    <row r="25" spans="1:15" x14ac:dyDescent="0.35">
      <c r="A25">
        <v>86</v>
      </c>
      <c r="B25">
        <v>8.1975068417756549E+18</v>
      </c>
      <c r="C25" s="1" t="s">
        <v>183</v>
      </c>
      <c r="D25" s="1" t="s">
        <v>184</v>
      </c>
      <c r="E25">
        <v>0.36280000000000001</v>
      </c>
      <c r="F25">
        <v>0.33510000000000001</v>
      </c>
      <c r="G25">
        <v>0.28989999999999999</v>
      </c>
      <c r="H25">
        <v>0.33339999999999997</v>
      </c>
      <c r="I25">
        <v>0.53979999999999995</v>
      </c>
      <c r="J25">
        <v>0.4148</v>
      </c>
      <c r="K25">
        <v>305.63</v>
      </c>
      <c r="L25">
        <v>407.16</v>
      </c>
      <c r="M25">
        <v>0.68120000000000003</v>
      </c>
      <c r="N25">
        <f>metrics_log[[#This Row],[clip_sub_v2]]-metrics_log[[#This Row],[clip_sub_v1]]</f>
        <v>-2.7700000000000002E-2</v>
      </c>
      <c r="O25">
        <f>metrics_log[[#This Row],[sharpness_v2]]-metrics_log[[#This Row],[sharpness_v1]]</f>
        <v>101.53000000000003</v>
      </c>
    </row>
    <row r="26" spans="1:15" x14ac:dyDescent="0.35">
      <c r="A26">
        <v>70</v>
      </c>
      <c r="B26">
        <v>3.563170322155263E+18</v>
      </c>
      <c r="C26" s="1" t="s">
        <v>151</v>
      </c>
      <c r="D26" s="1" t="s">
        <v>152</v>
      </c>
      <c r="E26">
        <v>0.3629</v>
      </c>
      <c r="F26">
        <v>0.32629999999999998</v>
      </c>
      <c r="G26">
        <v>0.28539999999999999</v>
      </c>
      <c r="H26">
        <v>0.3402</v>
      </c>
      <c r="I26">
        <v>0.61350000000000005</v>
      </c>
      <c r="J26">
        <v>0.36530000000000001</v>
      </c>
      <c r="K26">
        <v>516.85</v>
      </c>
      <c r="L26">
        <v>614.62</v>
      </c>
      <c r="M26">
        <v>0.78849999999999998</v>
      </c>
      <c r="N26">
        <f>metrics_log[[#This Row],[clip_sub_v2]]-metrics_log[[#This Row],[clip_sub_v1]]</f>
        <v>-3.6600000000000021E-2</v>
      </c>
      <c r="O26">
        <f>metrics_log[[#This Row],[sharpness_v2]]-metrics_log[[#This Row],[sharpness_v1]]</f>
        <v>97.769999999999982</v>
      </c>
    </row>
    <row r="27" spans="1:15" x14ac:dyDescent="0.35">
      <c r="A27">
        <v>32</v>
      </c>
      <c r="B27">
        <v>1.733347644189185E+18</v>
      </c>
      <c r="C27" s="1" t="s">
        <v>75</v>
      </c>
      <c r="D27" s="1" t="s">
        <v>76</v>
      </c>
      <c r="E27">
        <v>0.35830000000000001</v>
      </c>
      <c r="F27">
        <v>0.32219999999999999</v>
      </c>
      <c r="G27">
        <v>0.28399999999999997</v>
      </c>
      <c r="H27">
        <v>0.33260000000000001</v>
      </c>
      <c r="I27">
        <v>0.54710000000000003</v>
      </c>
      <c r="J27">
        <v>0.36449999999999999</v>
      </c>
      <c r="K27">
        <v>635.85</v>
      </c>
      <c r="L27">
        <v>726.67</v>
      </c>
      <c r="M27">
        <v>0.69910000000000005</v>
      </c>
      <c r="N27">
        <f>metrics_log[[#This Row],[clip_sub_v2]]-metrics_log[[#This Row],[clip_sub_v1]]</f>
        <v>-3.6100000000000021E-2</v>
      </c>
      <c r="O27">
        <f>metrics_log[[#This Row],[sharpness_v2]]-metrics_log[[#This Row],[sharpness_v1]]</f>
        <v>90.819999999999936</v>
      </c>
    </row>
    <row r="28" spans="1:15" x14ac:dyDescent="0.35">
      <c r="A28">
        <v>27</v>
      </c>
      <c r="B28">
        <v>8.2293915499003034E+18</v>
      </c>
      <c r="C28" s="1" t="s">
        <v>65</v>
      </c>
      <c r="D28" s="1" t="s">
        <v>66</v>
      </c>
      <c r="E28">
        <v>0.35589999999999999</v>
      </c>
      <c r="F28">
        <v>0.32729999999999998</v>
      </c>
      <c r="G28">
        <v>0.3014</v>
      </c>
      <c r="H28">
        <v>0.34139999999999998</v>
      </c>
      <c r="I28">
        <v>0.5504</v>
      </c>
      <c r="J28">
        <v>0.41880000000000001</v>
      </c>
      <c r="K28">
        <v>455.4</v>
      </c>
      <c r="L28">
        <v>537.32000000000005</v>
      </c>
      <c r="M28">
        <v>0.80920000000000003</v>
      </c>
      <c r="N28">
        <f>metrics_log[[#This Row],[clip_sub_v2]]-metrics_log[[#This Row],[clip_sub_v1]]</f>
        <v>-2.8600000000000014E-2</v>
      </c>
      <c r="O28">
        <f>metrics_log[[#This Row],[sharpness_v2]]-metrics_log[[#This Row],[sharpness_v1]]</f>
        <v>81.920000000000073</v>
      </c>
    </row>
    <row r="29" spans="1:15" x14ac:dyDescent="0.35">
      <c r="A29">
        <v>65</v>
      </c>
      <c r="B29">
        <v>3.0333121192593674E+18</v>
      </c>
      <c r="C29" s="1" t="s">
        <v>141</v>
      </c>
      <c r="D29" s="1" t="s">
        <v>142</v>
      </c>
      <c r="E29">
        <v>0.35670000000000002</v>
      </c>
      <c r="F29">
        <v>0.32890000000000003</v>
      </c>
      <c r="G29">
        <v>0.27600000000000002</v>
      </c>
      <c r="H29">
        <v>0.32490000000000002</v>
      </c>
      <c r="I29">
        <v>0.57589999999999997</v>
      </c>
      <c r="J29">
        <v>0.36870000000000003</v>
      </c>
      <c r="K29">
        <v>491.99</v>
      </c>
      <c r="L29">
        <v>573.29999999999995</v>
      </c>
      <c r="M29">
        <v>0.80859999999999999</v>
      </c>
      <c r="N29">
        <f>metrics_log[[#This Row],[clip_sub_v2]]-metrics_log[[#This Row],[clip_sub_v1]]</f>
        <v>-2.7799999999999991E-2</v>
      </c>
      <c r="O29">
        <f>metrics_log[[#This Row],[sharpness_v2]]-metrics_log[[#This Row],[sharpness_v1]]</f>
        <v>81.309999999999945</v>
      </c>
    </row>
    <row r="30" spans="1:15" x14ac:dyDescent="0.35">
      <c r="A30">
        <v>56</v>
      </c>
      <c r="B30">
        <v>6.9507914438298747E+18</v>
      </c>
      <c r="C30" s="1" t="s">
        <v>123</v>
      </c>
      <c r="D30" s="1" t="s">
        <v>124</v>
      </c>
      <c r="E30">
        <v>0.35460000000000003</v>
      </c>
      <c r="F30">
        <v>0.31919999999999998</v>
      </c>
      <c r="G30">
        <v>0.28449999999999998</v>
      </c>
      <c r="H30">
        <v>0.33979999999999999</v>
      </c>
      <c r="I30">
        <v>0.57420000000000004</v>
      </c>
      <c r="J30">
        <v>0.39069999999999999</v>
      </c>
      <c r="K30">
        <v>423.47</v>
      </c>
      <c r="L30">
        <v>503.64</v>
      </c>
      <c r="M30">
        <v>0.77200000000000002</v>
      </c>
      <c r="N30">
        <f>metrics_log[[#This Row],[clip_sub_v2]]-metrics_log[[#This Row],[clip_sub_v1]]</f>
        <v>-3.5400000000000043E-2</v>
      </c>
      <c r="O30">
        <f>metrics_log[[#This Row],[sharpness_v2]]-metrics_log[[#This Row],[sharpness_v1]]</f>
        <v>80.169999999999959</v>
      </c>
    </row>
    <row r="31" spans="1:15" x14ac:dyDescent="0.35">
      <c r="A31">
        <v>13</v>
      </c>
      <c r="B31">
        <v>1.6107670537941005E+18</v>
      </c>
      <c r="C31" s="1" t="s">
        <v>37</v>
      </c>
      <c r="D31" s="1" t="s">
        <v>38</v>
      </c>
      <c r="E31">
        <v>0.3649</v>
      </c>
      <c r="F31">
        <v>0.31419999999999998</v>
      </c>
      <c r="G31">
        <v>0.29160000000000003</v>
      </c>
      <c r="H31">
        <v>0.32600000000000001</v>
      </c>
      <c r="I31">
        <v>0.51690000000000003</v>
      </c>
      <c r="J31">
        <v>0.43340000000000001</v>
      </c>
      <c r="K31">
        <v>273.83999999999997</v>
      </c>
      <c r="L31">
        <v>353.37</v>
      </c>
      <c r="M31">
        <v>0.81859999999999999</v>
      </c>
      <c r="N31">
        <f>metrics_log[[#This Row],[clip_sub_v2]]-metrics_log[[#This Row],[clip_sub_v1]]</f>
        <v>-5.0700000000000023E-2</v>
      </c>
      <c r="O31">
        <f>metrics_log[[#This Row],[sharpness_v2]]-metrics_log[[#This Row],[sharpness_v1]]</f>
        <v>79.53000000000003</v>
      </c>
    </row>
    <row r="32" spans="1:15" x14ac:dyDescent="0.35">
      <c r="A32">
        <v>75</v>
      </c>
      <c r="B32">
        <v>4.1325195052861164E+18</v>
      </c>
      <c r="C32" s="1" t="s">
        <v>161</v>
      </c>
      <c r="D32" s="1" t="s">
        <v>162</v>
      </c>
      <c r="E32">
        <v>0.3589</v>
      </c>
      <c r="F32">
        <v>0.33</v>
      </c>
      <c r="G32">
        <v>0.3105</v>
      </c>
      <c r="H32">
        <v>0.3075</v>
      </c>
      <c r="I32">
        <v>0.49790000000000001</v>
      </c>
      <c r="J32">
        <v>0.39079999999999998</v>
      </c>
      <c r="K32">
        <v>419.15</v>
      </c>
      <c r="L32">
        <v>496.99</v>
      </c>
      <c r="M32">
        <v>0.78100000000000003</v>
      </c>
      <c r="N32">
        <f>metrics_log[[#This Row],[clip_sub_v2]]-metrics_log[[#This Row],[clip_sub_v1]]</f>
        <v>-2.8899999999999981E-2</v>
      </c>
      <c r="O32">
        <f>metrics_log[[#This Row],[sharpness_v2]]-metrics_log[[#This Row],[sharpness_v1]]</f>
        <v>77.840000000000032</v>
      </c>
    </row>
    <row r="33" spans="1:15" x14ac:dyDescent="0.35">
      <c r="A33">
        <v>38</v>
      </c>
      <c r="B33">
        <v>6.3360215381077166E+18</v>
      </c>
      <c r="C33" s="1" t="s">
        <v>87</v>
      </c>
      <c r="D33" s="1" t="s">
        <v>88</v>
      </c>
      <c r="E33">
        <v>0.35199999999999998</v>
      </c>
      <c r="F33">
        <v>0.31900000000000001</v>
      </c>
      <c r="G33">
        <v>0.28589999999999999</v>
      </c>
      <c r="H33">
        <v>0.34310000000000002</v>
      </c>
      <c r="I33">
        <v>0.57410000000000005</v>
      </c>
      <c r="J33">
        <v>0.38740000000000002</v>
      </c>
      <c r="K33">
        <v>489.16</v>
      </c>
      <c r="L33">
        <v>555.35</v>
      </c>
      <c r="M33">
        <v>0.8095</v>
      </c>
      <c r="N33">
        <f>metrics_log[[#This Row],[clip_sub_v2]]-metrics_log[[#This Row],[clip_sub_v1]]</f>
        <v>-3.2999999999999974E-2</v>
      </c>
      <c r="O33">
        <f>metrics_log[[#This Row],[sharpness_v2]]-metrics_log[[#This Row],[sharpness_v1]]</f>
        <v>66.19</v>
      </c>
    </row>
    <row r="34" spans="1:15" x14ac:dyDescent="0.35">
      <c r="A34">
        <v>90</v>
      </c>
      <c r="B34">
        <v>4.2020870204631624E+18</v>
      </c>
      <c r="C34" s="1" t="s">
        <v>191</v>
      </c>
      <c r="D34" s="1" t="s">
        <v>192</v>
      </c>
      <c r="E34">
        <v>0.3533</v>
      </c>
      <c r="F34">
        <v>0.31909999999999999</v>
      </c>
      <c r="G34">
        <v>0.27460000000000001</v>
      </c>
      <c r="H34">
        <v>0.33200000000000002</v>
      </c>
      <c r="I34">
        <v>0.57479999999999998</v>
      </c>
      <c r="J34">
        <v>0.3861</v>
      </c>
      <c r="K34">
        <v>304.07</v>
      </c>
      <c r="L34">
        <v>369.47</v>
      </c>
      <c r="M34">
        <v>0.85560000000000003</v>
      </c>
      <c r="N34">
        <f>metrics_log[[#This Row],[clip_sub_v2]]-metrics_log[[#This Row],[clip_sub_v1]]</f>
        <v>-3.4200000000000008E-2</v>
      </c>
      <c r="O34">
        <f>metrics_log[[#This Row],[sharpness_v2]]-metrics_log[[#This Row],[sharpness_v1]]</f>
        <v>65.400000000000034</v>
      </c>
    </row>
    <row r="35" spans="1:15" x14ac:dyDescent="0.35">
      <c r="A35">
        <v>89</v>
      </c>
      <c r="B35">
        <v>4.8999785246043341E+18</v>
      </c>
      <c r="C35" s="1" t="s">
        <v>189</v>
      </c>
      <c r="D35" s="1" t="s">
        <v>190</v>
      </c>
      <c r="E35">
        <v>0.37109999999999999</v>
      </c>
      <c r="F35">
        <v>0.33</v>
      </c>
      <c r="G35">
        <v>0.31940000000000002</v>
      </c>
      <c r="H35">
        <v>0.33829999999999999</v>
      </c>
      <c r="I35">
        <v>0.61250000000000004</v>
      </c>
      <c r="J35">
        <v>0.32200000000000001</v>
      </c>
      <c r="K35">
        <v>589.27</v>
      </c>
      <c r="L35">
        <v>653.91</v>
      </c>
      <c r="M35">
        <v>0.78879999999999995</v>
      </c>
      <c r="N35">
        <f>metrics_log[[#This Row],[clip_sub_v2]]-metrics_log[[#This Row],[clip_sub_v1]]</f>
        <v>-4.109999999999997E-2</v>
      </c>
      <c r="O35">
        <f>metrics_log[[#This Row],[sharpness_v2]]-metrics_log[[#This Row],[sharpness_v1]]</f>
        <v>64.639999999999986</v>
      </c>
    </row>
    <row r="36" spans="1:15" x14ac:dyDescent="0.35">
      <c r="A36">
        <v>93</v>
      </c>
      <c r="B36">
        <v>5.1822007189820099E+18</v>
      </c>
      <c r="C36" s="1" t="s">
        <v>197</v>
      </c>
      <c r="D36" s="1" t="s">
        <v>198</v>
      </c>
      <c r="E36">
        <v>0.35630000000000001</v>
      </c>
      <c r="F36">
        <v>0.32240000000000002</v>
      </c>
      <c r="G36">
        <v>0.2742</v>
      </c>
      <c r="H36">
        <v>0.33589999999999998</v>
      </c>
      <c r="I36">
        <v>0.55879999999999996</v>
      </c>
      <c r="J36">
        <v>0.36840000000000001</v>
      </c>
      <c r="K36">
        <v>399.07</v>
      </c>
      <c r="L36">
        <v>449.19</v>
      </c>
      <c r="M36">
        <v>0.79149999999999998</v>
      </c>
      <c r="N36">
        <f>metrics_log[[#This Row],[clip_sub_v2]]-metrics_log[[#This Row],[clip_sub_v1]]</f>
        <v>-3.3899999999999986E-2</v>
      </c>
      <c r="O36">
        <f>metrics_log[[#This Row],[sharpness_v2]]-metrics_log[[#This Row],[sharpness_v1]]</f>
        <v>50.120000000000005</v>
      </c>
    </row>
    <row r="37" spans="1:15" x14ac:dyDescent="0.35">
      <c r="A37">
        <v>45</v>
      </c>
      <c r="B37">
        <v>8.1732177505760993E+18</v>
      </c>
      <c r="C37" s="1" t="s">
        <v>101</v>
      </c>
      <c r="D37" s="1" t="s">
        <v>102</v>
      </c>
      <c r="E37">
        <v>0.3679</v>
      </c>
      <c r="F37">
        <v>0.31219999999999998</v>
      </c>
      <c r="G37">
        <v>0.30520000000000003</v>
      </c>
      <c r="H37">
        <v>0.3296</v>
      </c>
      <c r="I37">
        <v>0.59150000000000003</v>
      </c>
      <c r="J37">
        <v>0.34320000000000001</v>
      </c>
      <c r="K37">
        <v>493.25</v>
      </c>
      <c r="L37">
        <v>537.55999999999995</v>
      </c>
      <c r="M37">
        <v>0.76119999999999999</v>
      </c>
      <c r="N37">
        <f>metrics_log[[#This Row],[clip_sub_v2]]-metrics_log[[#This Row],[clip_sub_v1]]</f>
        <v>-5.5700000000000027E-2</v>
      </c>
      <c r="O37">
        <f>metrics_log[[#This Row],[sharpness_v2]]-metrics_log[[#This Row],[sharpness_v1]]</f>
        <v>44.309999999999945</v>
      </c>
    </row>
    <row r="38" spans="1:15" x14ac:dyDescent="0.35">
      <c r="A38">
        <v>24</v>
      </c>
      <c r="B38">
        <v>9.0744517037589873E+18</v>
      </c>
      <c r="C38" s="1" t="s">
        <v>59</v>
      </c>
      <c r="D38" s="1" t="s">
        <v>60</v>
      </c>
      <c r="E38">
        <v>0.35620000000000002</v>
      </c>
      <c r="F38">
        <v>0.33539999999999998</v>
      </c>
      <c r="G38">
        <v>0.27800000000000002</v>
      </c>
      <c r="H38">
        <v>0.34639999999999999</v>
      </c>
      <c r="I38">
        <v>0.60780000000000001</v>
      </c>
      <c r="J38">
        <v>0.35899999999999999</v>
      </c>
      <c r="K38">
        <v>527.26</v>
      </c>
      <c r="L38">
        <v>571.34</v>
      </c>
      <c r="M38">
        <v>0.78580000000000005</v>
      </c>
      <c r="N38">
        <f>metrics_log[[#This Row],[clip_sub_v2]]-metrics_log[[#This Row],[clip_sub_v1]]</f>
        <v>-2.0800000000000041E-2</v>
      </c>
      <c r="O38">
        <f>metrics_log[[#This Row],[sharpness_v2]]-metrics_log[[#This Row],[sharpness_v1]]</f>
        <v>44.080000000000041</v>
      </c>
    </row>
    <row r="39" spans="1:15" x14ac:dyDescent="0.35">
      <c r="A39">
        <v>12</v>
      </c>
      <c r="B39">
        <v>9.1420354844435507E+18</v>
      </c>
      <c r="C39" s="1" t="s">
        <v>35</v>
      </c>
      <c r="D39" s="1" t="s">
        <v>36</v>
      </c>
      <c r="E39">
        <v>0.37780000000000002</v>
      </c>
      <c r="F39">
        <v>0.32129999999999997</v>
      </c>
      <c r="G39">
        <v>0.29620000000000002</v>
      </c>
      <c r="H39">
        <v>0.31190000000000001</v>
      </c>
      <c r="I39">
        <v>0.54579999999999995</v>
      </c>
      <c r="J39">
        <v>0.40579999999999999</v>
      </c>
      <c r="K39">
        <v>444.18</v>
      </c>
      <c r="L39">
        <v>485.19</v>
      </c>
      <c r="M39">
        <v>0.76139999999999997</v>
      </c>
      <c r="N39">
        <f>metrics_log[[#This Row],[clip_sub_v2]]-metrics_log[[#This Row],[clip_sub_v1]]</f>
        <v>-5.650000000000005E-2</v>
      </c>
      <c r="O39">
        <f>metrics_log[[#This Row],[sharpness_v2]]-metrics_log[[#This Row],[sharpness_v1]]</f>
        <v>41.009999999999991</v>
      </c>
    </row>
    <row r="40" spans="1:15" x14ac:dyDescent="0.35">
      <c r="A40">
        <v>62</v>
      </c>
      <c r="B40">
        <v>3.683281870029758E+18</v>
      </c>
      <c r="C40" s="1" t="s">
        <v>135</v>
      </c>
      <c r="D40" s="1" t="s">
        <v>136</v>
      </c>
      <c r="E40">
        <v>0.371</v>
      </c>
      <c r="F40">
        <v>0.31480000000000002</v>
      </c>
      <c r="G40">
        <v>0.31009999999999999</v>
      </c>
      <c r="H40">
        <v>0.31850000000000001</v>
      </c>
      <c r="I40">
        <v>0.58799999999999997</v>
      </c>
      <c r="J40">
        <v>0.32750000000000001</v>
      </c>
      <c r="K40">
        <v>670.3</v>
      </c>
      <c r="L40">
        <v>709.22</v>
      </c>
      <c r="M40">
        <v>0.75109999999999999</v>
      </c>
      <c r="N40">
        <f>metrics_log[[#This Row],[clip_sub_v2]]-metrics_log[[#This Row],[clip_sub_v1]]</f>
        <v>-5.6199999999999972E-2</v>
      </c>
      <c r="O40">
        <f>metrics_log[[#This Row],[sharpness_v2]]-metrics_log[[#This Row],[sharpness_v1]]</f>
        <v>38.920000000000073</v>
      </c>
    </row>
    <row r="41" spans="1:15" x14ac:dyDescent="0.35">
      <c r="A41">
        <v>59</v>
      </c>
      <c r="B41">
        <v>3.1603363812759229E+18</v>
      </c>
      <c r="C41" s="1" t="s">
        <v>129</v>
      </c>
      <c r="D41" s="1" t="s">
        <v>130</v>
      </c>
      <c r="E41">
        <v>0.34449999999999997</v>
      </c>
      <c r="F41">
        <v>0.3352</v>
      </c>
      <c r="G41">
        <v>0.28939999999999999</v>
      </c>
      <c r="H41">
        <v>0.34329999999999999</v>
      </c>
      <c r="I41">
        <v>0.57569999999999999</v>
      </c>
      <c r="J41">
        <v>0.3493</v>
      </c>
      <c r="K41">
        <v>440.73</v>
      </c>
      <c r="L41">
        <v>478.63</v>
      </c>
      <c r="M41">
        <v>0.80469999999999997</v>
      </c>
      <c r="N41">
        <f>metrics_log[[#This Row],[clip_sub_v2]]-metrics_log[[#This Row],[clip_sub_v1]]</f>
        <v>-9.299999999999975E-3</v>
      </c>
      <c r="O41">
        <f>metrics_log[[#This Row],[sharpness_v2]]-metrics_log[[#This Row],[sharpness_v1]]</f>
        <v>37.899999999999977</v>
      </c>
    </row>
    <row r="42" spans="1:15" x14ac:dyDescent="0.35">
      <c r="A42">
        <v>20</v>
      </c>
      <c r="B42">
        <v>2.3144590777377004E+18</v>
      </c>
      <c r="C42" s="1" t="s">
        <v>51</v>
      </c>
      <c r="D42" s="1" t="s">
        <v>52</v>
      </c>
      <c r="E42">
        <v>0.34649999999999997</v>
      </c>
      <c r="F42">
        <v>0.31490000000000001</v>
      </c>
      <c r="G42">
        <v>0.26450000000000001</v>
      </c>
      <c r="H42">
        <v>0.32869999999999999</v>
      </c>
      <c r="I42">
        <v>0.52680000000000005</v>
      </c>
      <c r="J42">
        <v>0.36199999999999999</v>
      </c>
      <c r="K42">
        <v>568.04</v>
      </c>
      <c r="L42">
        <v>605.55999999999995</v>
      </c>
      <c r="M42">
        <v>0.76839999999999997</v>
      </c>
      <c r="N42">
        <f>metrics_log[[#This Row],[clip_sub_v2]]-metrics_log[[#This Row],[clip_sub_v1]]</f>
        <v>-3.1599999999999961E-2</v>
      </c>
      <c r="O42">
        <f>metrics_log[[#This Row],[sharpness_v2]]-metrics_log[[#This Row],[sharpness_v1]]</f>
        <v>37.519999999999982</v>
      </c>
    </row>
    <row r="43" spans="1:15" x14ac:dyDescent="0.35">
      <c r="A43">
        <v>9</v>
      </c>
      <c r="B43">
        <v>5.0203035278163395E+18</v>
      </c>
      <c r="C43" s="1" t="s">
        <v>29</v>
      </c>
      <c r="D43" s="1" t="s">
        <v>30</v>
      </c>
      <c r="E43">
        <v>0.3392</v>
      </c>
      <c r="F43">
        <v>0.33139999999999997</v>
      </c>
      <c r="G43">
        <v>0.26429999999999998</v>
      </c>
      <c r="H43">
        <v>0.34499999999999997</v>
      </c>
      <c r="I43">
        <v>0.55630000000000002</v>
      </c>
      <c r="J43">
        <v>0.40739999999999998</v>
      </c>
      <c r="K43">
        <v>465.86</v>
      </c>
      <c r="L43">
        <v>500.71</v>
      </c>
      <c r="M43">
        <v>0.81569999999999998</v>
      </c>
      <c r="N43">
        <f>metrics_log[[#This Row],[clip_sub_v2]]-metrics_log[[#This Row],[clip_sub_v1]]</f>
        <v>-7.8000000000000291E-3</v>
      </c>
      <c r="O43">
        <f>metrics_log[[#This Row],[sharpness_v2]]-metrics_log[[#This Row],[sharpness_v1]]</f>
        <v>34.849999999999966</v>
      </c>
    </row>
    <row r="44" spans="1:15" x14ac:dyDescent="0.35">
      <c r="A44">
        <v>15</v>
      </c>
      <c r="B44">
        <v>8.9733425624760678E+18</v>
      </c>
      <c r="C44" s="1" t="s">
        <v>41</v>
      </c>
      <c r="D44" s="1" t="s">
        <v>42</v>
      </c>
      <c r="E44">
        <v>0.35199999999999998</v>
      </c>
      <c r="F44">
        <v>0.30819999999999997</v>
      </c>
      <c r="G44">
        <v>0.29199999999999998</v>
      </c>
      <c r="H44">
        <v>0.32290000000000002</v>
      </c>
      <c r="I44">
        <v>0.51170000000000004</v>
      </c>
      <c r="J44">
        <v>0.46910000000000002</v>
      </c>
      <c r="K44">
        <v>373.15</v>
      </c>
      <c r="L44">
        <v>404.76</v>
      </c>
      <c r="M44">
        <v>0.76029999999999998</v>
      </c>
      <c r="N44">
        <f>metrics_log[[#This Row],[clip_sub_v2]]-metrics_log[[#This Row],[clip_sub_v1]]</f>
        <v>-4.3800000000000006E-2</v>
      </c>
      <c r="O44">
        <f>metrics_log[[#This Row],[sharpness_v2]]-metrics_log[[#This Row],[sharpness_v1]]</f>
        <v>31.610000000000014</v>
      </c>
    </row>
    <row r="45" spans="1:15" x14ac:dyDescent="0.35">
      <c r="A45">
        <v>72</v>
      </c>
      <c r="B45">
        <v>7.7016631878552177E+18</v>
      </c>
      <c r="C45" s="1" t="s">
        <v>155</v>
      </c>
      <c r="D45" s="1" t="s">
        <v>156</v>
      </c>
      <c r="E45">
        <v>0.38009999999999999</v>
      </c>
      <c r="F45">
        <v>0.31530000000000002</v>
      </c>
      <c r="G45">
        <v>0.2833</v>
      </c>
      <c r="H45">
        <v>0.30499999999999999</v>
      </c>
      <c r="I45">
        <v>0.56279999999999997</v>
      </c>
      <c r="J45">
        <v>0.42070000000000002</v>
      </c>
      <c r="K45">
        <v>371.83</v>
      </c>
      <c r="L45">
        <v>398.12</v>
      </c>
      <c r="M45">
        <v>0.81430000000000002</v>
      </c>
      <c r="N45">
        <f>metrics_log[[#This Row],[clip_sub_v2]]-metrics_log[[#This Row],[clip_sub_v1]]</f>
        <v>-6.4799999999999969E-2</v>
      </c>
      <c r="O45">
        <f>metrics_log[[#This Row],[sharpness_v2]]-metrics_log[[#This Row],[sharpness_v1]]</f>
        <v>26.29000000000002</v>
      </c>
    </row>
    <row r="46" spans="1:15" x14ac:dyDescent="0.35">
      <c r="A46">
        <v>23</v>
      </c>
      <c r="B46">
        <v>5.6495070379407693E+17</v>
      </c>
      <c r="C46" s="1" t="s">
        <v>57</v>
      </c>
      <c r="D46" s="1" t="s">
        <v>58</v>
      </c>
      <c r="E46">
        <v>0.38819999999999999</v>
      </c>
      <c r="F46">
        <v>0.33029999999999998</v>
      </c>
      <c r="G46">
        <v>0.33700000000000002</v>
      </c>
      <c r="H46">
        <v>0.3296</v>
      </c>
      <c r="I46">
        <v>0.54679999999999995</v>
      </c>
      <c r="J46">
        <v>0.38150000000000001</v>
      </c>
      <c r="K46">
        <v>563.6</v>
      </c>
      <c r="L46">
        <v>586.26</v>
      </c>
      <c r="M46">
        <v>0.79830000000000001</v>
      </c>
      <c r="N46">
        <f>metrics_log[[#This Row],[clip_sub_v2]]-metrics_log[[#This Row],[clip_sub_v1]]</f>
        <v>-5.7900000000000007E-2</v>
      </c>
      <c r="O46">
        <f>metrics_log[[#This Row],[sharpness_v2]]-metrics_log[[#This Row],[sharpness_v1]]</f>
        <v>22.659999999999968</v>
      </c>
    </row>
    <row r="47" spans="1:15" x14ac:dyDescent="0.35">
      <c r="A47">
        <v>83</v>
      </c>
      <c r="B47">
        <v>7.8673622279486802E+18</v>
      </c>
      <c r="C47" s="1" t="s">
        <v>177</v>
      </c>
      <c r="D47" s="1" t="s">
        <v>178</v>
      </c>
      <c r="E47">
        <v>0.36709999999999998</v>
      </c>
      <c r="F47">
        <v>0.32669999999999999</v>
      </c>
      <c r="G47">
        <v>0.29310000000000003</v>
      </c>
      <c r="H47">
        <v>0.33350000000000002</v>
      </c>
      <c r="I47">
        <v>0.50139999999999996</v>
      </c>
      <c r="J47">
        <v>0.4083</v>
      </c>
      <c r="K47">
        <v>513.37</v>
      </c>
      <c r="L47">
        <v>535.91999999999996</v>
      </c>
      <c r="M47">
        <v>0.76929999999999998</v>
      </c>
      <c r="N47">
        <f>metrics_log[[#This Row],[clip_sub_v2]]-metrics_log[[#This Row],[clip_sub_v1]]</f>
        <v>-4.0399999999999991E-2</v>
      </c>
      <c r="O47">
        <f>metrics_log[[#This Row],[sharpness_v2]]-metrics_log[[#This Row],[sharpness_v1]]</f>
        <v>22.549999999999955</v>
      </c>
    </row>
    <row r="48" spans="1:15" x14ac:dyDescent="0.35">
      <c r="A48">
        <v>63</v>
      </c>
      <c r="B48">
        <v>4.0960855934505221E+18</v>
      </c>
      <c r="C48" s="1" t="s">
        <v>137</v>
      </c>
      <c r="D48" s="1" t="s">
        <v>138</v>
      </c>
      <c r="E48">
        <v>0.39119999999999999</v>
      </c>
      <c r="F48">
        <v>0.31790000000000002</v>
      </c>
      <c r="G48">
        <v>0.31850000000000001</v>
      </c>
      <c r="H48">
        <v>0.32500000000000001</v>
      </c>
      <c r="I48">
        <v>0.53110000000000002</v>
      </c>
      <c r="J48">
        <v>0.40649999999999997</v>
      </c>
      <c r="K48">
        <v>489.03</v>
      </c>
      <c r="L48">
        <v>507.23</v>
      </c>
      <c r="M48">
        <v>0.81669999999999998</v>
      </c>
      <c r="N48">
        <f>metrics_log[[#This Row],[clip_sub_v2]]-metrics_log[[#This Row],[clip_sub_v1]]</f>
        <v>-7.3299999999999976E-2</v>
      </c>
      <c r="O48">
        <f>metrics_log[[#This Row],[sharpness_v2]]-metrics_log[[#This Row],[sharpness_v1]]</f>
        <v>18.200000000000045</v>
      </c>
    </row>
    <row r="49" spans="1:15" x14ac:dyDescent="0.35">
      <c r="A49">
        <v>29</v>
      </c>
      <c r="B49">
        <v>1.5653712003917839E+18</v>
      </c>
      <c r="C49" s="1" t="s">
        <v>69</v>
      </c>
      <c r="D49" s="1" t="s">
        <v>70</v>
      </c>
      <c r="E49">
        <v>0.36349999999999999</v>
      </c>
      <c r="F49">
        <v>0.32740000000000002</v>
      </c>
      <c r="G49">
        <v>0.29649999999999999</v>
      </c>
      <c r="H49">
        <v>0.33439999999999998</v>
      </c>
      <c r="I49">
        <v>0.57099999999999995</v>
      </c>
      <c r="J49">
        <v>0.36940000000000001</v>
      </c>
      <c r="K49">
        <v>436.62</v>
      </c>
      <c r="L49">
        <v>452.7</v>
      </c>
      <c r="M49">
        <v>0.82379999999999998</v>
      </c>
      <c r="N49">
        <f>metrics_log[[#This Row],[clip_sub_v2]]-metrics_log[[#This Row],[clip_sub_v1]]</f>
        <v>-3.6099999999999965E-2</v>
      </c>
      <c r="O49">
        <f>metrics_log[[#This Row],[sharpness_v2]]-metrics_log[[#This Row],[sharpness_v1]]</f>
        <v>16.079999999999984</v>
      </c>
    </row>
    <row r="50" spans="1:15" x14ac:dyDescent="0.35">
      <c r="A50">
        <v>80</v>
      </c>
      <c r="B50">
        <v>1.8497914134409659E+18</v>
      </c>
      <c r="C50" s="1" t="s">
        <v>171</v>
      </c>
      <c r="D50" s="1" t="s">
        <v>172</v>
      </c>
      <c r="E50">
        <v>0.34329999999999999</v>
      </c>
      <c r="F50">
        <v>0.31540000000000001</v>
      </c>
      <c r="G50">
        <v>0.25659999999999999</v>
      </c>
      <c r="H50">
        <v>0.33</v>
      </c>
      <c r="I50">
        <v>0.57509999999999994</v>
      </c>
      <c r="J50">
        <v>0.40400000000000003</v>
      </c>
      <c r="K50">
        <v>456.17</v>
      </c>
      <c r="L50">
        <v>469.59</v>
      </c>
      <c r="M50">
        <v>0.82840000000000003</v>
      </c>
      <c r="N50">
        <f>metrics_log[[#This Row],[clip_sub_v2]]-metrics_log[[#This Row],[clip_sub_v1]]</f>
        <v>-2.789999999999998E-2</v>
      </c>
      <c r="O50">
        <f>metrics_log[[#This Row],[sharpness_v2]]-metrics_log[[#This Row],[sharpness_v1]]</f>
        <v>13.419999999999959</v>
      </c>
    </row>
    <row r="51" spans="1:15" x14ac:dyDescent="0.35">
      <c r="A51">
        <v>42</v>
      </c>
      <c r="B51">
        <v>7.0809382572888023E+18</v>
      </c>
      <c r="C51" s="1" t="s">
        <v>95</v>
      </c>
      <c r="D51" s="1" t="s">
        <v>96</v>
      </c>
      <c r="E51">
        <v>0.36499999999999999</v>
      </c>
      <c r="F51">
        <v>0.3306</v>
      </c>
      <c r="G51">
        <v>0.30049999999999999</v>
      </c>
      <c r="H51">
        <v>0.35099999999999998</v>
      </c>
      <c r="I51">
        <v>0.61250000000000004</v>
      </c>
      <c r="J51">
        <v>0.4224</v>
      </c>
      <c r="K51">
        <v>363.55</v>
      </c>
      <c r="L51">
        <v>371.19</v>
      </c>
      <c r="M51">
        <v>0.82830000000000004</v>
      </c>
      <c r="N51">
        <f>metrics_log[[#This Row],[clip_sub_v2]]-metrics_log[[#This Row],[clip_sub_v1]]</f>
        <v>-3.4399999999999986E-2</v>
      </c>
      <c r="O51">
        <f>metrics_log[[#This Row],[sharpness_v2]]-metrics_log[[#This Row],[sharpness_v1]]</f>
        <v>7.6399999999999864</v>
      </c>
    </row>
    <row r="52" spans="1:15" x14ac:dyDescent="0.35">
      <c r="A52">
        <v>97</v>
      </c>
      <c r="B52">
        <v>7.4446278343022848E+18</v>
      </c>
      <c r="C52" s="1" t="s">
        <v>205</v>
      </c>
      <c r="D52" s="1" t="s">
        <v>206</v>
      </c>
      <c r="E52">
        <v>0.36030000000000001</v>
      </c>
      <c r="F52">
        <v>0.30719999999999997</v>
      </c>
      <c r="G52">
        <v>0.28489999999999999</v>
      </c>
      <c r="H52">
        <v>0.32540000000000002</v>
      </c>
      <c r="I52">
        <v>0.49809999999999999</v>
      </c>
      <c r="J52">
        <v>0.3821</v>
      </c>
      <c r="K52">
        <v>427.73</v>
      </c>
      <c r="L52">
        <v>433.11</v>
      </c>
      <c r="M52">
        <v>0.76429999999999998</v>
      </c>
      <c r="N52">
        <f>metrics_log[[#This Row],[clip_sub_v2]]-metrics_log[[#This Row],[clip_sub_v1]]</f>
        <v>-5.3100000000000036E-2</v>
      </c>
      <c r="O52">
        <f>metrics_log[[#This Row],[sharpness_v2]]-metrics_log[[#This Row],[sharpness_v1]]</f>
        <v>5.3799999999999955</v>
      </c>
    </row>
    <row r="53" spans="1:15" x14ac:dyDescent="0.35">
      <c r="A53">
        <v>53</v>
      </c>
      <c r="B53">
        <v>1.248897135965151E+18</v>
      </c>
      <c r="C53" s="1" t="s">
        <v>117</v>
      </c>
      <c r="D53" s="1" t="s">
        <v>118</v>
      </c>
      <c r="E53">
        <v>0.36109999999999998</v>
      </c>
      <c r="F53">
        <v>0.32550000000000001</v>
      </c>
      <c r="G53">
        <v>0.29580000000000001</v>
      </c>
      <c r="H53">
        <v>0.34</v>
      </c>
      <c r="I53">
        <v>0.5746</v>
      </c>
      <c r="J53">
        <v>0.36830000000000002</v>
      </c>
      <c r="K53">
        <v>469.52</v>
      </c>
      <c r="L53">
        <v>472.89</v>
      </c>
      <c r="M53">
        <v>0.84509999999999996</v>
      </c>
      <c r="N53">
        <f>metrics_log[[#This Row],[clip_sub_v2]]-metrics_log[[#This Row],[clip_sub_v1]]</f>
        <v>-3.5599999999999965E-2</v>
      </c>
      <c r="O53">
        <f>metrics_log[[#This Row],[sharpness_v2]]-metrics_log[[#This Row],[sharpness_v1]]</f>
        <v>3.3700000000000045</v>
      </c>
    </row>
    <row r="54" spans="1:15" x14ac:dyDescent="0.35">
      <c r="A54">
        <v>60</v>
      </c>
      <c r="B54">
        <v>2.2060608108051244E+18</v>
      </c>
      <c r="C54" s="1" t="s">
        <v>131</v>
      </c>
      <c r="D54" s="1" t="s">
        <v>132</v>
      </c>
      <c r="E54">
        <v>0.36199999999999999</v>
      </c>
      <c r="F54">
        <v>0.3201</v>
      </c>
      <c r="G54">
        <v>0.2944</v>
      </c>
      <c r="H54">
        <v>0.317</v>
      </c>
      <c r="I54">
        <v>0.5252</v>
      </c>
      <c r="J54">
        <v>0.4173</v>
      </c>
      <c r="K54">
        <v>550.94000000000005</v>
      </c>
      <c r="L54">
        <v>552.96</v>
      </c>
      <c r="M54">
        <v>0.72089999999999999</v>
      </c>
      <c r="N54">
        <f>metrics_log[[#This Row],[clip_sub_v2]]-metrics_log[[#This Row],[clip_sub_v1]]</f>
        <v>-4.1899999999999993E-2</v>
      </c>
      <c r="O54">
        <f>metrics_log[[#This Row],[sharpness_v2]]-metrics_log[[#This Row],[sharpness_v1]]</f>
        <v>2.0199999999999818</v>
      </c>
    </row>
    <row r="55" spans="1:15" x14ac:dyDescent="0.35">
      <c r="A55">
        <v>10</v>
      </c>
      <c r="B55">
        <v>5.1854184787545928E+18</v>
      </c>
      <c r="C55" s="1" t="s">
        <v>31</v>
      </c>
      <c r="D55" s="1" t="s">
        <v>32</v>
      </c>
      <c r="E55">
        <v>0.36130000000000001</v>
      </c>
      <c r="F55">
        <v>0.32429999999999998</v>
      </c>
      <c r="G55">
        <v>0.30909999999999999</v>
      </c>
      <c r="H55">
        <v>0.31740000000000002</v>
      </c>
      <c r="I55">
        <v>0.57630000000000003</v>
      </c>
      <c r="J55">
        <v>0.37490000000000001</v>
      </c>
      <c r="K55">
        <v>539.91</v>
      </c>
      <c r="L55">
        <v>540.53</v>
      </c>
      <c r="M55">
        <v>0.78859999999999997</v>
      </c>
      <c r="N55">
        <f>metrics_log[[#This Row],[clip_sub_v2]]-metrics_log[[#This Row],[clip_sub_v1]]</f>
        <v>-3.7000000000000033E-2</v>
      </c>
      <c r="O55">
        <f>metrics_log[[#This Row],[sharpness_v2]]-metrics_log[[#This Row],[sharpness_v1]]</f>
        <v>0.62000000000000455</v>
      </c>
    </row>
    <row r="56" spans="1:15" x14ac:dyDescent="0.35">
      <c r="A56">
        <v>98</v>
      </c>
      <c r="B56">
        <v>5.1754991173941914E+18</v>
      </c>
      <c r="C56" s="1" t="s">
        <v>207</v>
      </c>
      <c r="D56" s="1" t="s">
        <v>208</v>
      </c>
      <c r="E56">
        <v>0.35580000000000001</v>
      </c>
      <c r="F56">
        <v>0.32929999999999998</v>
      </c>
      <c r="G56">
        <v>0.30149999999999999</v>
      </c>
      <c r="H56">
        <v>0.3362</v>
      </c>
      <c r="I56">
        <v>0.54630000000000001</v>
      </c>
      <c r="J56">
        <v>0.39550000000000002</v>
      </c>
      <c r="K56">
        <v>376.21</v>
      </c>
      <c r="L56">
        <v>372.34</v>
      </c>
      <c r="M56">
        <v>0.75409999999999999</v>
      </c>
      <c r="N56">
        <f>metrics_log[[#This Row],[clip_sub_v2]]-metrics_log[[#This Row],[clip_sub_v1]]</f>
        <v>-2.6500000000000024E-2</v>
      </c>
      <c r="O56">
        <f>metrics_log[[#This Row],[sharpness_v2]]-metrics_log[[#This Row],[sharpness_v1]]</f>
        <v>-3.8700000000000045</v>
      </c>
    </row>
    <row r="57" spans="1:15" x14ac:dyDescent="0.35">
      <c r="A57">
        <v>26</v>
      </c>
      <c r="B57">
        <v>1.7044241886696003E+18</v>
      </c>
      <c r="C57" s="1" t="s">
        <v>63</v>
      </c>
      <c r="D57" s="1" t="s">
        <v>64</v>
      </c>
      <c r="E57">
        <v>0.37209999999999999</v>
      </c>
      <c r="F57">
        <v>0.3145</v>
      </c>
      <c r="G57">
        <v>0.26600000000000001</v>
      </c>
      <c r="H57">
        <v>0.3044</v>
      </c>
      <c r="I57">
        <v>0.60289999999999999</v>
      </c>
      <c r="J57">
        <v>0.33179999999999998</v>
      </c>
      <c r="K57">
        <v>539.48</v>
      </c>
      <c r="L57">
        <v>529.78</v>
      </c>
      <c r="M57">
        <v>0.70630000000000004</v>
      </c>
      <c r="N57">
        <f>metrics_log[[#This Row],[clip_sub_v2]]-metrics_log[[#This Row],[clip_sub_v1]]</f>
        <v>-5.7599999999999985E-2</v>
      </c>
      <c r="O57">
        <f>metrics_log[[#This Row],[sharpness_v2]]-metrics_log[[#This Row],[sharpness_v1]]</f>
        <v>-9.7000000000000455</v>
      </c>
    </row>
    <row r="58" spans="1:15" x14ac:dyDescent="0.35">
      <c r="A58">
        <v>33</v>
      </c>
      <c r="B58">
        <v>7.5399437748139377E+18</v>
      </c>
      <c r="C58" s="1" t="s">
        <v>77</v>
      </c>
      <c r="D58" s="1" t="s">
        <v>78</v>
      </c>
      <c r="E58">
        <v>0.35449999999999998</v>
      </c>
      <c r="F58">
        <v>0.3387</v>
      </c>
      <c r="G58">
        <v>0.29189999999999999</v>
      </c>
      <c r="H58">
        <v>0.34949999999999998</v>
      </c>
      <c r="I58">
        <v>0.52890000000000004</v>
      </c>
      <c r="J58">
        <v>0.3977</v>
      </c>
      <c r="K58">
        <v>517.17999999999995</v>
      </c>
      <c r="L58">
        <v>500.04</v>
      </c>
      <c r="M58">
        <v>0.74009999999999998</v>
      </c>
      <c r="N58">
        <f>metrics_log[[#This Row],[clip_sub_v2]]-metrics_log[[#This Row],[clip_sub_v1]]</f>
        <v>-1.5799999999999981E-2</v>
      </c>
      <c r="O58">
        <f>metrics_log[[#This Row],[sharpness_v2]]-metrics_log[[#This Row],[sharpness_v1]]</f>
        <v>-17.13999999999993</v>
      </c>
    </row>
    <row r="59" spans="1:15" x14ac:dyDescent="0.35">
      <c r="A59">
        <v>36</v>
      </c>
      <c r="B59">
        <v>4.9297116727521178E+18</v>
      </c>
      <c r="C59" s="1" t="s">
        <v>83</v>
      </c>
      <c r="D59" s="1" t="s">
        <v>84</v>
      </c>
      <c r="E59">
        <v>0.35020000000000001</v>
      </c>
      <c r="F59">
        <v>0.31459999999999999</v>
      </c>
      <c r="G59">
        <v>0.3034</v>
      </c>
      <c r="H59">
        <v>0.32729999999999998</v>
      </c>
      <c r="I59">
        <v>0.5554</v>
      </c>
      <c r="J59">
        <v>0.41170000000000001</v>
      </c>
      <c r="K59">
        <v>520.29</v>
      </c>
      <c r="L59">
        <v>499.44</v>
      </c>
      <c r="M59">
        <v>0.79949999999999999</v>
      </c>
      <c r="N59">
        <f>metrics_log[[#This Row],[clip_sub_v2]]-metrics_log[[#This Row],[clip_sub_v1]]</f>
        <v>-3.5600000000000021E-2</v>
      </c>
      <c r="O59">
        <f>metrics_log[[#This Row],[sharpness_v2]]-metrics_log[[#This Row],[sharpness_v1]]</f>
        <v>-20.849999999999966</v>
      </c>
    </row>
    <row r="60" spans="1:15" x14ac:dyDescent="0.35">
      <c r="A60">
        <v>47</v>
      </c>
      <c r="B60">
        <v>1.7009624218118167E+18</v>
      </c>
      <c r="C60" s="1" t="s">
        <v>105</v>
      </c>
      <c r="D60" s="1" t="s">
        <v>106</v>
      </c>
      <c r="E60">
        <v>0.3569</v>
      </c>
      <c r="F60">
        <v>0.32640000000000002</v>
      </c>
      <c r="G60">
        <v>0.29430000000000001</v>
      </c>
      <c r="H60">
        <v>0.31830000000000003</v>
      </c>
      <c r="I60">
        <v>0.56610000000000005</v>
      </c>
      <c r="J60">
        <v>0.37059999999999998</v>
      </c>
      <c r="K60">
        <v>483.57</v>
      </c>
      <c r="L60">
        <v>459.16</v>
      </c>
      <c r="M60">
        <v>0.82150000000000001</v>
      </c>
      <c r="N60">
        <f>metrics_log[[#This Row],[clip_sub_v2]]-metrics_log[[#This Row],[clip_sub_v1]]</f>
        <v>-3.0499999999999972E-2</v>
      </c>
      <c r="O60">
        <f>metrics_log[[#This Row],[sharpness_v2]]-metrics_log[[#This Row],[sharpness_v1]]</f>
        <v>-24.409999999999968</v>
      </c>
    </row>
    <row r="61" spans="1:15" x14ac:dyDescent="0.35">
      <c r="A61">
        <v>77</v>
      </c>
      <c r="B61">
        <v>7.2279932519164774E+18</v>
      </c>
      <c r="C61" s="1" t="s">
        <v>165</v>
      </c>
      <c r="D61" s="1" t="s">
        <v>166</v>
      </c>
      <c r="E61">
        <v>0.377</v>
      </c>
      <c r="F61">
        <v>0.33729999999999999</v>
      </c>
      <c r="G61">
        <v>0.30299999999999999</v>
      </c>
      <c r="H61">
        <v>0.32819999999999999</v>
      </c>
      <c r="I61">
        <v>0.5101</v>
      </c>
      <c r="J61">
        <v>0.41270000000000001</v>
      </c>
      <c r="K61">
        <v>435.4</v>
      </c>
      <c r="L61">
        <v>405.81</v>
      </c>
      <c r="M61">
        <v>0.76859999999999995</v>
      </c>
      <c r="N61">
        <f>metrics_log[[#This Row],[clip_sub_v2]]-metrics_log[[#This Row],[clip_sub_v1]]</f>
        <v>-3.9700000000000013E-2</v>
      </c>
      <c r="O61">
        <f>metrics_log[[#This Row],[sharpness_v2]]-metrics_log[[#This Row],[sharpness_v1]]</f>
        <v>-29.589999999999975</v>
      </c>
    </row>
    <row r="62" spans="1:15" x14ac:dyDescent="0.35">
      <c r="A62">
        <v>8</v>
      </c>
      <c r="B62">
        <v>4.0258804132577864E+18</v>
      </c>
      <c r="C62" s="1" t="s">
        <v>27</v>
      </c>
      <c r="D62" s="1" t="s">
        <v>28</v>
      </c>
      <c r="E62">
        <v>0.36509999999999998</v>
      </c>
      <c r="F62">
        <v>0.31809999999999999</v>
      </c>
      <c r="G62">
        <v>0.31280000000000002</v>
      </c>
      <c r="H62">
        <v>0.31929999999999997</v>
      </c>
      <c r="I62">
        <v>0.48730000000000001</v>
      </c>
      <c r="J62">
        <v>0.39450000000000002</v>
      </c>
      <c r="K62">
        <v>443.45</v>
      </c>
      <c r="L62">
        <v>413.05</v>
      </c>
      <c r="M62">
        <v>0.77439999999999998</v>
      </c>
      <c r="N62">
        <f>metrics_log[[#This Row],[clip_sub_v2]]-metrics_log[[#This Row],[clip_sub_v1]]</f>
        <v>-4.6999999999999986E-2</v>
      </c>
      <c r="O62">
        <f>metrics_log[[#This Row],[sharpness_v2]]-metrics_log[[#This Row],[sharpness_v1]]</f>
        <v>-30.399999999999977</v>
      </c>
    </row>
    <row r="63" spans="1:15" x14ac:dyDescent="0.35">
      <c r="A63">
        <v>1</v>
      </c>
      <c r="B63">
        <v>2.8669628748664208E+17</v>
      </c>
      <c r="C63" s="1" t="s">
        <v>13</v>
      </c>
      <c r="D63" s="1" t="s">
        <v>14</v>
      </c>
      <c r="E63">
        <v>0.3402</v>
      </c>
      <c r="F63">
        <v>0.33260000000000001</v>
      </c>
      <c r="G63">
        <v>0.27639999999999998</v>
      </c>
      <c r="H63">
        <v>0.32340000000000002</v>
      </c>
      <c r="I63">
        <v>0.52569999999999995</v>
      </c>
      <c r="J63">
        <v>0.40300000000000002</v>
      </c>
      <c r="K63">
        <v>419.11</v>
      </c>
      <c r="L63">
        <v>384.91</v>
      </c>
      <c r="M63">
        <v>0.77039999999999997</v>
      </c>
      <c r="N63">
        <f>metrics_log[[#This Row],[clip_sub_v2]]-metrics_log[[#This Row],[clip_sub_v1]]</f>
        <v>-7.5999999999999956E-3</v>
      </c>
      <c r="O63">
        <f>metrics_log[[#This Row],[sharpness_v2]]-metrics_log[[#This Row],[sharpness_v1]]</f>
        <v>-34.199999999999989</v>
      </c>
    </row>
    <row r="64" spans="1:15" x14ac:dyDescent="0.35">
      <c r="A64">
        <v>6</v>
      </c>
      <c r="B64">
        <v>3.3536817675328113E+18</v>
      </c>
      <c r="C64" s="1" t="s">
        <v>23</v>
      </c>
      <c r="D64" s="1" t="s">
        <v>24</v>
      </c>
      <c r="E64">
        <v>0.36049999999999999</v>
      </c>
      <c r="F64">
        <v>0.32950000000000002</v>
      </c>
      <c r="G64">
        <v>0.28170000000000001</v>
      </c>
      <c r="H64">
        <v>0.31169999999999998</v>
      </c>
      <c r="I64">
        <v>0.505</v>
      </c>
      <c r="J64">
        <v>0.4098</v>
      </c>
      <c r="K64">
        <v>410.97</v>
      </c>
      <c r="L64">
        <v>374.38</v>
      </c>
      <c r="M64">
        <v>0.75460000000000005</v>
      </c>
      <c r="N64">
        <f>metrics_log[[#This Row],[clip_sub_v2]]-metrics_log[[#This Row],[clip_sub_v1]]</f>
        <v>-3.0999999999999972E-2</v>
      </c>
      <c r="O64">
        <f>metrics_log[[#This Row],[sharpness_v2]]-metrics_log[[#This Row],[sharpness_v1]]</f>
        <v>-36.590000000000032</v>
      </c>
    </row>
    <row r="65" spans="1:15" x14ac:dyDescent="0.35">
      <c r="A65">
        <v>30</v>
      </c>
      <c r="B65">
        <v>1.399858297700844E+18</v>
      </c>
      <c r="C65" s="1" t="s">
        <v>71</v>
      </c>
      <c r="D65" s="1" t="s">
        <v>72</v>
      </c>
      <c r="E65">
        <v>0.38419999999999999</v>
      </c>
      <c r="F65">
        <v>0.32790000000000002</v>
      </c>
      <c r="G65">
        <v>0.31900000000000001</v>
      </c>
      <c r="H65">
        <v>0.33179999999999998</v>
      </c>
      <c r="I65">
        <v>0.49080000000000001</v>
      </c>
      <c r="J65">
        <v>0.42430000000000001</v>
      </c>
      <c r="K65">
        <v>645.76</v>
      </c>
      <c r="L65">
        <v>607.84</v>
      </c>
      <c r="M65">
        <v>0.71389999999999998</v>
      </c>
      <c r="N65">
        <f>metrics_log[[#This Row],[clip_sub_v2]]-metrics_log[[#This Row],[clip_sub_v1]]</f>
        <v>-5.6299999999999961E-2</v>
      </c>
      <c r="O65">
        <f>metrics_log[[#This Row],[sharpness_v2]]-metrics_log[[#This Row],[sharpness_v1]]</f>
        <v>-37.919999999999959</v>
      </c>
    </row>
    <row r="66" spans="1:15" x14ac:dyDescent="0.35">
      <c r="A66">
        <v>18</v>
      </c>
      <c r="B66">
        <v>3.0710602974270572E+18</v>
      </c>
      <c r="C66" s="1" t="s">
        <v>47</v>
      </c>
      <c r="D66" s="1" t="s">
        <v>48</v>
      </c>
      <c r="E66">
        <v>0.3634</v>
      </c>
      <c r="F66">
        <v>0.3165</v>
      </c>
      <c r="G66">
        <v>0.2989</v>
      </c>
      <c r="H66">
        <v>0.33090000000000003</v>
      </c>
      <c r="I66">
        <v>0.49530000000000002</v>
      </c>
      <c r="J66">
        <v>0.40620000000000001</v>
      </c>
      <c r="K66">
        <v>608.26</v>
      </c>
      <c r="L66">
        <v>566</v>
      </c>
      <c r="M66">
        <v>0.74629999999999996</v>
      </c>
      <c r="N66">
        <f>metrics_log[[#This Row],[clip_sub_v2]]-metrics_log[[#This Row],[clip_sub_v1]]</f>
        <v>-4.6899999999999997E-2</v>
      </c>
      <c r="O66">
        <f>metrics_log[[#This Row],[sharpness_v2]]-metrics_log[[#This Row],[sharpness_v1]]</f>
        <v>-42.259999999999991</v>
      </c>
    </row>
    <row r="67" spans="1:15" x14ac:dyDescent="0.35">
      <c r="A67">
        <v>71</v>
      </c>
      <c r="B67">
        <v>7.4006457584584049E+18</v>
      </c>
      <c r="C67" s="1" t="s">
        <v>153</v>
      </c>
      <c r="D67" s="1" t="s">
        <v>154</v>
      </c>
      <c r="E67">
        <v>0.36499999999999999</v>
      </c>
      <c r="F67">
        <v>0.32669999999999999</v>
      </c>
      <c r="G67">
        <v>0.29380000000000001</v>
      </c>
      <c r="H67">
        <v>0.3357</v>
      </c>
      <c r="I67">
        <v>0.55320000000000003</v>
      </c>
      <c r="J67">
        <v>0.36220000000000002</v>
      </c>
      <c r="K67">
        <v>531.38</v>
      </c>
      <c r="L67">
        <v>488.39</v>
      </c>
      <c r="M67">
        <v>0.78810000000000002</v>
      </c>
      <c r="N67">
        <f>metrics_log[[#This Row],[clip_sub_v2]]-metrics_log[[#This Row],[clip_sub_v1]]</f>
        <v>-3.8300000000000001E-2</v>
      </c>
      <c r="O67">
        <f>metrics_log[[#This Row],[sharpness_v2]]-metrics_log[[#This Row],[sharpness_v1]]</f>
        <v>-42.990000000000009</v>
      </c>
    </row>
    <row r="68" spans="1:15" x14ac:dyDescent="0.35">
      <c r="A68">
        <v>100</v>
      </c>
      <c r="B68">
        <v>1.3784397832394176E+18</v>
      </c>
      <c r="C68" s="1" t="s">
        <v>211</v>
      </c>
      <c r="D68" s="1" t="s">
        <v>212</v>
      </c>
      <c r="E68">
        <v>0.38240000000000002</v>
      </c>
      <c r="F68">
        <v>0.315</v>
      </c>
      <c r="G68">
        <v>0.28110000000000002</v>
      </c>
      <c r="H68">
        <v>0.32569999999999999</v>
      </c>
      <c r="I68">
        <v>0.58579999999999999</v>
      </c>
      <c r="J68">
        <v>0.34350000000000003</v>
      </c>
      <c r="K68">
        <v>548.70000000000005</v>
      </c>
      <c r="L68">
        <v>504.15</v>
      </c>
      <c r="M68">
        <v>0.79359999999999997</v>
      </c>
      <c r="N68">
        <f>metrics_log[[#This Row],[clip_sub_v2]]-metrics_log[[#This Row],[clip_sub_v1]]</f>
        <v>-6.7400000000000015E-2</v>
      </c>
      <c r="O68">
        <f>metrics_log[[#This Row],[sharpness_v2]]-metrics_log[[#This Row],[sharpness_v1]]</f>
        <v>-44.550000000000068</v>
      </c>
    </row>
    <row r="69" spans="1:15" x14ac:dyDescent="0.35">
      <c r="A69">
        <v>21</v>
      </c>
      <c r="B69">
        <v>3.9987025868708219E+18</v>
      </c>
      <c r="C69" s="1" t="s">
        <v>53</v>
      </c>
      <c r="D69" s="1" t="s">
        <v>54</v>
      </c>
      <c r="E69">
        <v>0.3609</v>
      </c>
      <c r="F69">
        <v>0.33710000000000001</v>
      </c>
      <c r="G69">
        <v>0.31040000000000001</v>
      </c>
      <c r="H69">
        <v>0.33489999999999998</v>
      </c>
      <c r="I69">
        <v>0.55020000000000002</v>
      </c>
      <c r="J69">
        <v>0.42</v>
      </c>
      <c r="K69">
        <v>524.22</v>
      </c>
      <c r="L69">
        <v>474.3</v>
      </c>
      <c r="M69">
        <v>0.79190000000000005</v>
      </c>
      <c r="N69">
        <f>metrics_log[[#This Row],[clip_sub_v2]]-metrics_log[[#This Row],[clip_sub_v1]]</f>
        <v>-2.3799999999999988E-2</v>
      </c>
      <c r="O69">
        <f>metrics_log[[#This Row],[sharpness_v2]]-metrics_log[[#This Row],[sharpness_v1]]</f>
        <v>-49.920000000000016</v>
      </c>
    </row>
    <row r="70" spans="1:15" x14ac:dyDescent="0.35">
      <c r="A70">
        <v>43</v>
      </c>
      <c r="B70">
        <v>6.5604779017274957E+17</v>
      </c>
      <c r="C70" s="1" t="s">
        <v>97</v>
      </c>
      <c r="D70" s="1" t="s">
        <v>98</v>
      </c>
      <c r="E70">
        <v>0.33900000000000002</v>
      </c>
      <c r="F70">
        <v>0.33019999999999999</v>
      </c>
      <c r="G70">
        <v>0.28589999999999999</v>
      </c>
      <c r="H70">
        <v>0.32390000000000002</v>
      </c>
      <c r="I70">
        <v>0.52210000000000001</v>
      </c>
      <c r="J70">
        <v>0.35439999999999999</v>
      </c>
      <c r="K70">
        <v>674.97</v>
      </c>
      <c r="L70">
        <v>620.6</v>
      </c>
      <c r="M70">
        <v>0.69540000000000002</v>
      </c>
      <c r="N70">
        <f>metrics_log[[#This Row],[clip_sub_v2]]-metrics_log[[#This Row],[clip_sub_v1]]</f>
        <v>-8.80000000000003E-3</v>
      </c>
      <c r="O70">
        <f>metrics_log[[#This Row],[sharpness_v2]]-metrics_log[[#This Row],[sharpness_v1]]</f>
        <v>-54.370000000000005</v>
      </c>
    </row>
    <row r="71" spans="1:15" x14ac:dyDescent="0.35">
      <c r="A71">
        <v>44</v>
      </c>
      <c r="B71">
        <v>3.7955986362894618E+18</v>
      </c>
      <c r="C71" s="1" t="s">
        <v>99</v>
      </c>
      <c r="D71" s="1" t="s">
        <v>100</v>
      </c>
      <c r="E71">
        <v>0.36249999999999999</v>
      </c>
      <c r="F71">
        <v>0.3256</v>
      </c>
      <c r="G71">
        <v>0.29630000000000001</v>
      </c>
      <c r="H71">
        <v>0.35060000000000002</v>
      </c>
      <c r="I71">
        <v>0.58389999999999997</v>
      </c>
      <c r="J71">
        <v>0.39429999999999998</v>
      </c>
      <c r="K71">
        <v>462.52</v>
      </c>
      <c r="L71">
        <v>402.6</v>
      </c>
      <c r="M71">
        <v>0.7873</v>
      </c>
      <c r="N71">
        <f>metrics_log[[#This Row],[clip_sub_v2]]-metrics_log[[#This Row],[clip_sub_v1]]</f>
        <v>-3.6899999999999988E-2</v>
      </c>
      <c r="O71">
        <f>metrics_log[[#This Row],[sharpness_v2]]-metrics_log[[#This Row],[sharpness_v1]]</f>
        <v>-59.919999999999959</v>
      </c>
    </row>
    <row r="72" spans="1:15" x14ac:dyDescent="0.35">
      <c r="A72">
        <v>25</v>
      </c>
      <c r="B72">
        <v>5.1407748028318996E+18</v>
      </c>
      <c r="C72" s="1" t="s">
        <v>61</v>
      </c>
      <c r="D72" s="1" t="s">
        <v>62</v>
      </c>
      <c r="E72">
        <v>0.34010000000000001</v>
      </c>
      <c r="F72">
        <v>0.32190000000000002</v>
      </c>
      <c r="G72">
        <v>0.26269999999999999</v>
      </c>
      <c r="H72">
        <v>0.31419999999999998</v>
      </c>
      <c r="I72">
        <v>0.59199999999999997</v>
      </c>
      <c r="J72">
        <v>0.35499999999999998</v>
      </c>
      <c r="K72">
        <v>553.4</v>
      </c>
      <c r="L72">
        <v>493.16</v>
      </c>
      <c r="M72">
        <v>0.75080000000000002</v>
      </c>
      <c r="N72">
        <f>metrics_log[[#This Row],[clip_sub_v2]]-metrics_log[[#This Row],[clip_sub_v1]]</f>
        <v>-1.8199999999999994E-2</v>
      </c>
      <c r="O72">
        <f>metrics_log[[#This Row],[sharpness_v2]]-metrics_log[[#This Row],[sharpness_v1]]</f>
        <v>-60.239999999999952</v>
      </c>
    </row>
    <row r="73" spans="1:15" x14ac:dyDescent="0.35">
      <c r="A73">
        <v>84</v>
      </c>
      <c r="B73">
        <v>2.3833783185587067E+18</v>
      </c>
      <c r="C73" s="1" t="s">
        <v>179</v>
      </c>
      <c r="D73" s="1" t="s">
        <v>180</v>
      </c>
      <c r="E73">
        <v>0.36199999999999999</v>
      </c>
      <c r="F73">
        <v>0.33989999999999998</v>
      </c>
      <c r="G73">
        <v>0.26740000000000003</v>
      </c>
      <c r="H73">
        <v>0.3458</v>
      </c>
      <c r="I73">
        <v>0.5353</v>
      </c>
      <c r="J73">
        <v>0.3715</v>
      </c>
      <c r="K73">
        <v>601.25</v>
      </c>
      <c r="L73">
        <v>538.27</v>
      </c>
      <c r="M73">
        <v>0.73640000000000005</v>
      </c>
      <c r="N73">
        <f>metrics_log[[#This Row],[clip_sub_v2]]-metrics_log[[#This Row],[clip_sub_v1]]</f>
        <v>-2.2100000000000009E-2</v>
      </c>
      <c r="O73">
        <f>metrics_log[[#This Row],[sharpness_v2]]-metrics_log[[#This Row],[sharpness_v1]]</f>
        <v>-62.980000000000018</v>
      </c>
    </row>
    <row r="74" spans="1:15" x14ac:dyDescent="0.35">
      <c r="A74">
        <v>2</v>
      </c>
      <c r="B74">
        <v>4.9537467001096786E+18</v>
      </c>
      <c r="C74" s="1" t="s">
        <v>15</v>
      </c>
      <c r="D74" s="1" t="s">
        <v>16</v>
      </c>
      <c r="E74">
        <v>0.34570000000000001</v>
      </c>
      <c r="F74">
        <v>0.32729999999999998</v>
      </c>
      <c r="G74">
        <v>0.29260000000000003</v>
      </c>
      <c r="H74">
        <v>0.33189999999999997</v>
      </c>
      <c r="I74">
        <v>0.58379999999999999</v>
      </c>
      <c r="J74">
        <v>0.36270000000000002</v>
      </c>
      <c r="K74">
        <v>575.55999999999995</v>
      </c>
      <c r="L74">
        <v>511.66</v>
      </c>
      <c r="M74">
        <v>0.83809999999999996</v>
      </c>
      <c r="N74">
        <f>metrics_log[[#This Row],[clip_sub_v2]]-metrics_log[[#This Row],[clip_sub_v1]]</f>
        <v>-1.8400000000000027E-2</v>
      </c>
      <c r="O74">
        <f>metrics_log[[#This Row],[sharpness_v2]]-metrics_log[[#This Row],[sharpness_v1]]</f>
        <v>-63.89999999999992</v>
      </c>
    </row>
    <row r="75" spans="1:15" x14ac:dyDescent="0.35">
      <c r="A75">
        <v>99</v>
      </c>
      <c r="B75">
        <v>3.4592776910646641E+18</v>
      </c>
      <c r="C75" s="1" t="s">
        <v>209</v>
      </c>
      <c r="D75" s="1" t="s">
        <v>210</v>
      </c>
      <c r="E75">
        <v>0.37559999999999999</v>
      </c>
      <c r="F75">
        <v>0.33129999999999998</v>
      </c>
      <c r="G75">
        <v>0.30249999999999999</v>
      </c>
      <c r="H75">
        <v>0.33379999999999999</v>
      </c>
      <c r="I75">
        <v>0.53839999999999999</v>
      </c>
      <c r="J75">
        <v>0.36049999999999999</v>
      </c>
      <c r="K75">
        <v>603.95000000000005</v>
      </c>
      <c r="L75">
        <v>536.19000000000005</v>
      </c>
      <c r="M75">
        <v>0.81089999999999995</v>
      </c>
      <c r="N75">
        <f>metrics_log[[#This Row],[clip_sub_v2]]-metrics_log[[#This Row],[clip_sub_v1]]</f>
        <v>-4.4300000000000006E-2</v>
      </c>
      <c r="O75">
        <f>metrics_log[[#This Row],[sharpness_v2]]-metrics_log[[#This Row],[sharpness_v1]]</f>
        <v>-67.759999999999991</v>
      </c>
    </row>
    <row r="76" spans="1:15" x14ac:dyDescent="0.35">
      <c r="A76">
        <v>76</v>
      </c>
      <c r="B76">
        <v>8.0182011186014884E+18</v>
      </c>
      <c r="C76" s="1" t="s">
        <v>163</v>
      </c>
      <c r="D76" s="1" t="s">
        <v>164</v>
      </c>
      <c r="E76">
        <v>0.34810000000000002</v>
      </c>
      <c r="F76">
        <v>0.3251</v>
      </c>
      <c r="G76">
        <v>0.28060000000000002</v>
      </c>
      <c r="H76">
        <v>0.32769999999999999</v>
      </c>
      <c r="I76">
        <v>0.59899999999999998</v>
      </c>
      <c r="J76">
        <v>0.40820000000000001</v>
      </c>
      <c r="K76">
        <v>519.04999999999995</v>
      </c>
      <c r="L76">
        <v>442.92</v>
      </c>
      <c r="M76">
        <v>0.86199999999999999</v>
      </c>
      <c r="N76">
        <f>metrics_log[[#This Row],[clip_sub_v2]]-metrics_log[[#This Row],[clip_sub_v1]]</f>
        <v>-2.300000000000002E-2</v>
      </c>
      <c r="O76">
        <f>metrics_log[[#This Row],[sharpness_v2]]-metrics_log[[#This Row],[sharpness_v1]]</f>
        <v>-76.129999999999939</v>
      </c>
    </row>
    <row r="77" spans="1:15" x14ac:dyDescent="0.35">
      <c r="A77">
        <v>19</v>
      </c>
      <c r="B77">
        <v>5.4797627289864038E+18</v>
      </c>
      <c r="C77" s="1" t="s">
        <v>49</v>
      </c>
      <c r="D77" s="1" t="s">
        <v>50</v>
      </c>
      <c r="E77">
        <v>0.37080000000000002</v>
      </c>
      <c r="F77">
        <v>0.32129999999999997</v>
      </c>
      <c r="G77">
        <v>0.31430000000000002</v>
      </c>
      <c r="H77">
        <v>0.33110000000000001</v>
      </c>
      <c r="I77">
        <v>0.49270000000000003</v>
      </c>
      <c r="J77">
        <v>0.39829999999999999</v>
      </c>
      <c r="K77">
        <v>548.01</v>
      </c>
      <c r="L77">
        <v>457.22</v>
      </c>
      <c r="M77">
        <v>0.73519999999999996</v>
      </c>
      <c r="N77">
        <f>metrics_log[[#This Row],[clip_sub_v2]]-metrics_log[[#This Row],[clip_sub_v1]]</f>
        <v>-4.9500000000000044E-2</v>
      </c>
      <c r="O77">
        <f>metrics_log[[#This Row],[sharpness_v2]]-metrics_log[[#This Row],[sharpness_v1]]</f>
        <v>-90.789999999999964</v>
      </c>
    </row>
    <row r="78" spans="1:15" x14ac:dyDescent="0.35">
      <c r="A78">
        <v>61</v>
      </c>
      <c r="B78">
        <v>4.5101907451900349E+18</v>
      </c>
      <c r="C78" s="1" t="s">
        <v>133</v>
      </c>
      <c r="D78" s="1" t="s">
        <v>134</v>
      </c>
      <c r="E78">
        <v>0.36849999999999999</v>
      </c>
      <c r="F78">
        <v>0.32350000000000001</v>
      </c>
      <c r="G78">
        <v>0.29720000000000002</v>
      </c>
      <c r="H78">
        <v>0.33410000000000001</v>
      </c>
      <c r="I78">
        <v>0.47739999999999999</v>
      </c>
      <c r="J78">
        <v>0.42170000000000002</v>
      </c>
      <c r="K78">
        <v>565.04</v>
      </c>
      <c r="L78">
        <v>472.75</v>
      </c>
      <c r="M78">
        <v>0.69989999999999997</v>
      </c>
      <c r="N78">
        <f>metrics_log[[#This Row],[clip_sub_v2]]-metrics_log[[#This Row],[clip_sub_v1]]</f>
        <v>-4.4999999999999984E-2</v>
      </c>
      <c r="O78">
        <f>metrics_log[[#This Row],[sharpness_v2]]-metrics_log[[#This Row],[sharpness_v1]]</f>
        <v>-92.289999999999964</v>
      </c>
    </row>
    <row r="79" spans="1:15" x14ac:dyDescent="0.35">
      <c r="A79">
        <v>39</v>
      </c>
      <c r="B79">
        <v>2.8335094288043023E+18</v>
      </c>
      <c r="C79" s="1" t="s">
        <v>89</v>
      </c>
      <c r="D79" s="1" t="s">
        <v>90</v>
      </c>
      <c r="E79">
        <v>0.3695</v>
      </c>
      <c r="F79">
        <v>0.32240000000000002</v>
      </c>
      <c r="G79">
        <v>0.30230000000000001</v>
      </c>
      <c r="H79">
        <v>0.34360000000000002</v>
      </c>
      <c r="I79">
        <v>0.58330000000000004</v>
      </c>
      <c r="J79">
        <v>0.3463</v>
      </c>
      <c r="K79">
        <v>573.25</v>
      </c>
      <c r="L79">
        <v>473.13</v>
      </c>
      <c r="M79">
        <v>0.84199999999999997</v>
      </c>
      <c r="N79">
        <f>metrics_log[[#This Row],[clip_sub_v2]]-metrics_log[[#This Row],[clip_sub_v1]]</f>
        <v>-4.7099999999999975E-2</v>
      </c>
      <c r="O79">
        <f>metrics_log[[#This Row],[sharpness_v2]]-metrics_log[[#This Row],[sharpness_v1]]</f>
        <v>-100.12</v>
      </c>
    </row>
    <row r="80" spans="1:15" x14ac:dyDescent="0.35">
      <c r="A80">
        <v>57</v>
      </c>
      <c r="B80">
        <v>7.6627451312960573E+18</v>
      </c>
      <c r="C80" s="1" t="s">
        <v>125</v>
      </c>
      <c r="D80" s="1" t="s">
        <v>126</v>
      </c>
      <c r="E80">
        <v>0.35959999999999998</v>
      </c>
      <c r="F80">
        <v>0.33379999999999999</v>
      </c>
      <c r="G80">
        <v>0.29389999999999999</v>
      </c>
      <c r="H80">
        <v>0.34110000000000001</v>
      </c>
      <c r="I80">
        <v>0.55059999999999998</v>
      </c>
      <c r="J80">
        <v>0.39500000000000002</v>
      </c>
      <c r="K80">
        <v>549.99</v>
      </c>
      <c r="L80">
        <v>442.79</v>
      </c>
      <c r="M80">
        <v>0.80979999999999996</v>
      </c>
      <c r="N80">
        <f>metrics_log[[#This Row],[clip_sub_v2]]-metrics_log[[#This Row],[clip_sub_v1]]</f>
        <v>-2.579999999999999E-2</v>
      </c>
      <c r="O80">
        <f>metrics_log[[#This Row],[sharpness_v2]]-metrics_log[[#This Row],[sharpness_v1]]</f>
        <v>-107.19999999999999</v>
      </c>
    </row>
    <row r="81" spans="1:15" x14ac:dyDescent="0.35">
      <c r="A81">
        <v>69</v>
      </c>
      <c r="B81">
        <v>1.0417745719312689E+18</v>
      </c>
      <c r="C81" s="1" t="s">
        <v>149</v>
      </c>
      <c r="D81" s="1" t="s">
        <v>150</v>
      </c>
      <c r="E81">
        <v>0.36280000000000001</v>
      </c>
      <c r="F81">
        <v>0.3281</v>
      </c>
      <c r="G81">
        <v>0.29799999999999999</v>
      </c>
      <c r="H81">
        <v>0.34510000000000002</v>
      </c>
      <c r="I81">
        <v>0.58689999999999998</v>
      </c>
      <c r="J81">
        <v>0.3629</v>
      </c>
      <c r="K81">
        <v>623.52</v>
      </c>
      <c r="L81">
        <v>515.76</v>
      </c>
      <c r="M81">
        <v>0.82210000000000005</v>
      </c>
      <c r="N81">
        <f>metrics_log[[#This Row],[clip_sub_v2]]-metrics_log[[#This Row],[clip_sub_v1]]</f>
        <v>-3.4700000000000009E-2</v>
      </c>
      <c r="O81">
        <f>metrics_log[[#This Row],[sharpness_v2]]-metrics_log[[#This Row],[sharpness_v1]]</f>
        <v>-107.75999999999999</v>
      </c>
    </row>
    <row r="82" spans="1:15" x14ac:dyDescent="0.35">
      <c r="A82">
        <v>11</v>
      </c>
      <c r="B82">
        <v>5.7944150597302477E+17</v>
      </c>
      <c r="C82" s="1" t="s">
        <v>33</v>
      </c>
      <c r="D82" s="1" t="s">
        <v>34</v>
      </c>
      <c r="E82">
        <v>0.37209999999999999</v>
      </c>
      <c r="F82">
        <v>0.31740000000000002</v>
      </c>
      <c r="G82">
        <v>0.30209999999999998</v>
      </c>
      <c r="H82">
        <v>0.33510000000000001</v>
      </c>
      <c r="I82">
        <v>0.55620000000000003</v>
      </c>
      <c r="J82">
        <v>0.38009999999999999</v>
      </c>
      <c r="K82">
        <v>684.67</v>
      </c>
      <c r="L82">
        <v>554.62</v>
      </c>
      <c r="M82">
        <v>0.80359999999999998</v>
      </c>
      <c r="N82">
        <f>metrics_log[[#This Row],[clip_sub_v2]]-metrics_log[[#This Row],[clip_sub_v1]]</f>
        <v>-5.4699999999999971E-2</v>
      </c>
      <c r="O82">
        <f>metrics_log[[#This Row],[sharpness_v2]]-metrics_log[[#This Row],[sharpness_v1]]</f>
        <v>-130.04999999999995</v>
      </c>
    </row>
    <row r="83" spans="1:15" x14ac:dyDescent="0.35">
      <c r="A83">
        <v>88</v>
      </c>
      <c r="B83">
        <v>1.1260841320326662E+17</v>
      </c>
      <c r="C83" s="1" t="s">
        <v>187</v>
      </c>
      <c r="D83" s="1" t="s">
        <v>188</v>
      </c>
      <c r="E83">
        <v>0.35289999999999999</v>
      </c>
      <c r="F83">
        <v>0.32179999999999997</v>
      </c>
      <c r="G83">
        <v>0.28920000000000001</v>
      </c>
      <c r="H83">
        <v>0.31209999999999999</v>
      </c>
      <c r="I83">
        <v>0.52390000000000003</v>
      </c>
      <c r="J83">
        <v>0.3463</v>
      </c>
      <c r="K83">
        <v>677.01</v>
      </c>
      <c r="L83">
        <v>545.62</v>
      </c>
      <c r="M83">
        <v>0.78649999999999998</v>
      </c>
      <c r="N83">
        <f>metrics_log[[#This Row],[clip_sub_v2]]-metrics_log[[#This Row],[clip_sub_v1]]</f>
        <v>-3.1100000000000017E-2</v>
      </c>
      <c r="O83">
        <f>metrics_log[[#This Row],[sharpness_v2]]-metrics_log[[#This Row],[sharpness_v1]]</f>
        <v>-131.38999999999999</v>
      </c>
    </row>
    <row r="84" spans="1:15" x14ac:dyDescent="0.35">
      <c r="A84">
        <v>91</v>
      </c>
      <c r="B84">
        <v>8.3217837303824302E+18</v>
      </c>
      <c r="C84" s="1" t="s">
        <v>193</v>
      </c>
      <c r="D84" s="1" t="s">
        <v>194</v>
      </c>
      <c r="E84">
        <v>0.34350000000000003</v>
      </c>
      <c r="F84">
        <v>0.33050000000000002</v>
      </c>
      <c r="G84">
        <v>0.31009999999999999</v>
      </c>
      <c r="H84">
        <v>0.33929999999999999</v>
      </c>
      <c r="I84">
        <v>0.57730000000000004</v>
      </c>
      <c r="J84">
        <v>0.30430000000000001</v>
      </c>
      <c r="K84">
        <v>811.15</v>
      </c>
      <c r="L84">
        <v>679.57</v>
      </c>
      <c r="M84">
        <v>0.76070000000000004</v>
      </c>
      <c r="N84">
        <f>metrics_log[[#This Row],[clip_sub_v2]]-metrics_log[[#This Row],[clip_sub_v1]]</f>
        <v>-1.3000000000000012E-2</v>
      </c>
      <c r="O84">
        <f>metrics_log[[#This Row],[sharpness_v2]]-metrics_log[[#This Row],[sharpness_v1]]</f>
        <v>-131.57999999999993</v>
      </c>
    </row>
    <row r="85" spans="1:15" x14ac:dyDescent="0.35">
      <c r="A85">
        <v>79</v>
      </c>
      <c r="B85">
        <v>7.3763501903144264E+18</v>
      </c>
      <c r="C85" s="1" t="s">
        <v>169</v>
      </c>
      <c r="D85" s="1" t="s">
        <v>170</v>
      </c>
      <c r="E85">
        <v>0.34849999999999998</v>
      </c>
      <c r="F85">
        <v>0.3226</v>
      </c>
      <c r="G85">
        <v>0.27679999999999999</v>
      </c>
      <c r="H85">
        <v>0.34260000000000002</v>
      </c>
      <c r="I85">
        <v>0.54139999999999999</v>
      </c>
      <c r="J85">
        <v>0.3911</v>
      </c>
      <c r="K85">
        <v>592.13</v>
      </c>
      <c r="L85">
        <v>438.78</v>
      </c>
      <c r="M85">
        <v>0.81599999999999995</v>
      </c>
      <c r="N85">
        <f>metrics_log[[#This Row],[clip_sub_v2]]-metrics_log[[#This Row],[clip_sub_v1]]</f>
        <v>-2.5899999999999979E-2</v>
      </c>
      <c r="O85">
        <f>metrics_log[[#This Row],[sharpness_v2]]-metrics_log[[#This Row],[sharpness_v1]]</f>
        <v>-153.35000000000002</v>
      </c>
    </row>
    <row r="86" spans="1:15" x14ac:dyDescent="0.35">
      <c r="A86">
        <v>55</v>
      </c>
      <c r="B86">
        <v>1.3276932657424297E+18</v>
      </c>
      <c r="C86" s="1" t="s">
        <v>121</v>
      </c>
      <c r="D86" s="1" t="s">
        <v>122</v>
      </c>
      <c r="E86">
        <v>0.36180000000000001</v>
      </c>
      <c r="F86">
        <v>0.3286</v>
      </c>
      <c r="G86">
        <v>0.29530000000000001</v>
      </c>
      <c r="H86">
        <v>0.3327</v>
      </c>
      <c r="I86">
        <v>0.52549999999999997</v>
      </c>
      <c r="J86">
        <v>0.41499999999999998</v>
      </c>
      <c r="K86">
        <v>570.41</v>
      </c>
      <c r="L86">
        <v>413.26</v>
      </c>
      <c r="M86">
        <v>0.75939999999999996</v>
      </c>
      <c r="N86">
        <f>metrics_log[[#This Row],[clip_sub_v2]]-metrics_log[[#This Row],[clip_sub_v1]]</f>
        <v>-3.3200000000000007E-2</v>
      </c>
      <c r="O86">
        <f>metrics_log[[#This Row],[sharpness_v2]]-metrics_log[[#This Row],[sharpness_v1]]</f>
        <v>-157.14999999999998</v>
      </c>
    </row>
    <row r="87" spans="1:15" x14ac:dyDescent="0.35">
      <c r="A87">
        <v>14</v>
      </c>
      <c r="B87">
        <v>6.144181514433648E+16</v>
      </c>
      <c r="C87" s="1" t="s">
        <v>39</v>
      </c>
      <c r="D87" s="1" t="s">
        <v>40</v>
      </c>
      <c r="E87">
        <v>0.37959999999999999</v>
      </c>
      <c r="F87">
        <v>0.32790000000000002</v>
      </c>
      <c r="G87">
        <v>0.32469999999999999</v>
      </c>
      <c r="H87">
        <v>0.34250000000000003</v>
      </c>
      <c r="I87">
        <v>0.51590000000000003</v>
      </c>
      <c r="J87">
        <v>0.39300000000000002</v>
      </c>
      <c r="K87">
        <v>665.6</v>
      </c>
      <c r="L87">
        <v>499.38</v>
      </c>
      <c r="M87">
        <v>0.74209999999999998</v>
      </c>
      <c r="N87">
        <f>metrics_log[[#This Row],[clip_sub_v2]]-metrics_log[[#This Row],[clip_sub_v1]]</f>
        <v>-5.1699999999999968E-2</v>
      </c>
      <c r="O87">
        <f>metrics_log[[#This Row],[sharpness_v2]]-metrics_log[[#This Row],[sharpness_v1]]</f>
        <v>-166.22000000000003</v>
      </c>
    </row>
    <row r="88" spans="1:15" x14ac:dyDescent="0.35">
      <c r="A88">
        <v>34</v>
      </c>
      <c r="B88">
        <v>3.8102011809464361E+18</v>
      </c>
      <c r="C88" s="1" t="s">
        <v>79</v>
      </c>
      <c r="D88" s="1" t="s">
        <v>80</v>
      </c>
      <c r="E88">
        <v>0.33639999999999998</v>
      </c>
      <c r="F88">
        <v>0.35210000000000002</v>
      </c>
      <c r="G88">
        <v>0.26200000000000001</v>
      </c>
      <c r="H88">
        <v>0.32740000000000002</v>
      </c>
      <c r="I88">
        <v>0.51290000000000002</v>
      </c>
      <c r="J88">
        <v>0.36449999999999999</v>
      </c>
      <c r="K88">
        <v>693.03</v>
      </c>
      <c r="L88">
        <v>517.61</v>
      </c>
      <c r="M88">
        <v>0.69099999999999995</v>
      </c>
      <c r="N88">
        <f>metrics_log[[#This Row],[clip_sub_v2]]-metrics_log[[#This Row],[clip_sub_v1]]</f>
        <v>1.5700000000000047E-2</v>
      </c>
      <c r="O88">
        <f>metrics_log[[#This Row],[sharpness_v2]]-metrics_log[[#This Row],[sharpness_v1]]</f>
        <v>-175.41999999999996</v>
      </c>
    </row>
    <row r="89" spans="1:15" x14ac:dyDescent="0.35">
      <c r="A89">
        <v>37</v>
      </c>
      <c r="B89">
        <v>1.4556565044626468E+18</v>
      </c>
      <c r="C89" s="1" t="s">
        <v>85</v>
      </c>
      <c r="D89" s="1" t="s">
        <v>86</v>
      </c>
      <c r="E89">
        <v>0.37040000000000001</v>
      </c>
      <c r="F89">
        <v>0.3175</v>
      </c>
      <c r="G89">
        <v>0.29759999999999998</v>
      </c>
      <c r="H89">
        <v>0.31850000000000001</v>
      </c>
      <c r="I89">
        <v>0.53639999999999999</v>
      </c>
      <c r="J89">
        <v>0.37759999999999999</v>
      </c>
      <c r="K89">
        <v>714.19</v>
      </c>
      <c r="L89">
        <v>535.73</v>
      </c>
      <c r="M89">
        <v>0.75070000000000003</v>
      </c>
      <c r="N89">
        <f>metrics_log[[#This Row],[clip_sub_v2]]-metrics_log[[#This Row],[clip_sub_v1]]</f>
        <v>-5.2900000000000003E-2</v>
      </c>
      <c r="O89">
        <f>metrics_log[[#This Row],[sharpness_v2]]-metrics_log[[#This Row],[sharpness_v1]]</f>
        <v>-178.46000000000004</v>
      </c>
    </row>
    <row r="90" spans="1:15" x14ac:dyDescent="0.35">
      <c r="A90">
        <v>68</v>
      </c>
      <c r="B90">
        <v>5.4639466335568292E+18</v>
      </c>
      <c r="C90" s="1" t="s">
        <v>147</v>
      </c>
      <c r="D90" s="1" t="s">
        <v>148</v>
      </c>
      <c r="E90">
        <v>0.35289999999999999</v>
      </c>
      <c r="F90">
        <v>0.30869999999999997</v>
      </c>
      <c r="G90">
        <v>0.30409999999999998</v>
      </c>
      <c r="H90">
        <v>0.33639999999999998</v>
      </c>
      <c r="I90">
        <v>0.53180000000000005</v>
      </c>
      <c r="J90">
        <v>0.3468</v>
      </c>
      <c r="K90">
        <v>763.08</v>
      </c>
      <c r="L90">
        <v>583.77</v>
      </c>
      <c r="M90">
        <v>0.75849999999999995</v>
      </c>
      <c r="N90">
        <f>metrics_log[[#This Row],[clip_sub_v2]]-metrics_log[[#This Row],[clip_sub_v1]]</f>
        <v>-4.4200000000000017E-2</v>
      </c>
      <c r="O90">
        <f>metrics_log[[#This Row],[sharpness_v2]]-metrics_log[[#This Row],[sharpness_v1]]</f>
        <v>-179.31000000000006</v>
      </c>
    </row>
    <row r="91" spans="1:15" x14ac:dyDescent="0.35">
      <c r="A91">
        <v>40</v>
      </c>
      <c r="B91">
        <v>3.3200760376529654E+18</v>
      </c>
      <c r="C91" s="1" t="s">
        <v>91</v>
      </c>
      <c r="D91" s="1" t="s">
        <v>92</v>
      </c>
      <c r="E91">
        <v>0.35539999999999999</v>
      </c>
      <c r="F91">
        <v>0.32590000000000002</v>
      </c>
      <c r="G91">
        <v>0.28810000000000002</v>
      </c>
      <c r="H91">
        <v>0.32479999999999998</v>
      </c>
      <c r="I91">
        <v>0.52039999999999997</v>
      </c>
      <c r="J91">
        <v>0.40379999999999999</v>
      </c>
      <c r="K91">
        <v>728.99</v>
      </c>
      <c r="L91">
        <v>547.1</v>
      </c>
      <c r="M91">
        <v>0.82230000000000003</v>
      </c>
      <c r="N91">
        <f>metrics_log[[#This Row],[clip_sub_v2]]-metrics_log[[#This Row],[clip_sub_v1]]</f>
        <v>-2.9499999999999971E-2</v>
      </c>
      <c r="O91">
        <f>metrics_log[[#This Row],[sharpness_v2]]-metrics_log[[#This Row],[sharpness_v1]]</f>
        <v>-181.89</v>
      </c>
    </row>
    <row r="92" spans="1:15" x14ac:dyDescent="0.35">
      <c r="A92">
        <v>52</v>
      </c>
      <c r="B92">
        <v>6.7034857066315684E+18</v>
      </c>
      <c r="C92" s="1" t="s">
        <v>115</v>
      </c>
      <c r="D92" s="1" t="s">
        <v>116</v>
      </c>
      <c r="E92">
        <v>0.38179999999999997</v>
      </c>
      <c r="F92">
        <v>0.31719999999999998</v>
      </c>
      <c r="G92">
        <v>0.3145</v>
      </c>
      <c r="H92">
        <v>0.35299999999999998</v>
      </c>
      <c r="I92">
        <v>0.61619999999999997</v>
      </c>
      <c r="J92">
        <v>0.37590000000000001</v>
      </c>
      <c r="K92">
        <v>569.72</v>
      </c>
      <c r="L92">
        <v>384.53</v>
      </c>
      <c r="M92">
        <v>0.8135</v>
      </c>
      <c r="N92">
        <f>metrics_log[[#This Row],[clip_sub_v2]]-metrics_log[[#This Row],[clip_sub_v1]]</f>
        <v>-6.4599999999999991E-2</v>
      </c>
      <c r="O92">
        <f>metrics_log[[#This Row],[sharpness_v2]]-metrics_log[[#This Row],[sharpness_v1]]</f>
        <v>-185.19000000000005</v>
      </c>
    </row>
    <row r="93" spans="1:15" x14ac:dyDescent="0.35">
      <c r="A93">
        <v>78</v>
      </c>
      <c r="B93">
        <v>2.7391669045423754E+18</v>
      </c>
      <c r="C93" s="1" t="s">
        <v>167</v>
      </c>
      <c r="D93" s="1" t="s">
        <v>168</v>
      </c>
      <c r="E93">
        <v>0.35880000000000001</v>
      </c>
      <c r="F93">
        <v>0.33389999999999997</v>
      </c>
      <c r="G93">
        <v>0.30199999999999999</v>
      </c>
      <c r="H93">
        <v>0.3412</v>
      </c>
      <c r="I93">
        <v>0.54279999999999995</v>
      </c>
      <c r="J93">
        <v>0.37330000000000002</v>
      </c>
      <c r="K93">
        <v>631.35</v>
      </c>
      <c r="L93">
        <v>440.76</v>
      </c>
      <c r="M93">
        <v>0.82469999999999999</v>
      </c>
      <c r="N93">
        <f>metrics_log[[#This Row],[clip_sub_v2]]-metrics_log[[#This Row],[clip_sub_v1]]</f>
        <v>-2.4900000000000033E-2</v>
      </c>
      <c r="O93">
        <f>metrics_log[[#This Row],[sharpness_v2]]-metrics_log[[#This Row],[sharpness_v1]]</f>
        <v>-190.59000000000003</v>
      </c>
    </row>
    <row r="94" spans="1:15" x14ac:dyDescent="0.35">
      <c r="A94">
        <v>28</v>
      </c>
      <c r="B94">
        <v>4.1508652715628104E+18</v>
      </c>
      <c r="C94" s="1" t="s">
        <v>67</v>
      </c>
      <c r="D94" s="1" t="s">
        <v>68</v>
      </c>
      <c r="E94">
        <v>0.3705</v>
      </c>
      <c r="F94">
        <v>0.3216</v>
      </c>
      <c r="G94">
        <v>0.311</v>
      </c>
      <c r="H94">
        <v>0.33379999999999999</v>
      </c>
      <c r="I94">
        <v>0.46500000000000002</v>
      </c>
      <c r="J94">
        <v>0.43909999999999999</v>
      </c>
      <c r="K94">
        <v>658.53</v>
      </c>
      <c r="L94">
        <v>409.05</v>
      </c>
      <c r="M94">
        <v>0.84760000000000002</v>
      </c>
      <c r="N94">
        <f>metrics_log[[#This Row],[clip_sub_v2]]-metrics_log[[#This Row],[clip_sub_v1]]</f>
        <v>-4.8899999999999999E-2</v>
      </c>
      <c r="O94">
        <f>metrics_log[[#This Row],[sharpness_v2]]-metrics_log[[#This Row],[sharpness_v1]]</f>
        <v>-249.47999999999996</v>
      </c>
    </row>
    <row r="95" spans="1:15" x14ac:dyDescent="0.35">
      <c r="A95">
        <v>66</v>
      </c>
      <c r="B95">
        <v>1.1010160608560621E+18</v>
      </c>
      <c r="C95" s="1" t="s">
        <v>143</v>
      </c>
      <c r="D95" s="1" t="s">
        <v>144</v>
      </c>
      <c r="E95">
        <v>0.36399999999999999</v>
      </c>
      <c r="F95">
        <v>0.30149999999999999</v>
      </c>
      <c r="G95">
        <v>0.26590000000000003</v>
      </c>
      <c r="H95">
        <v>0.318</v>
      </c>
      <c r="I95">
        <v>0.50329999999999997</v>
      </c>
      <c r="J95">
        <v>0.4264</v>
      </c>
      <c r="K95">
        <v>608.82000000000005</v>
      </c>
      <c r="L95">
        <v>297.61</v>
      </c>
      <c r="M95">
        <v>0.75849999999999995</v>
      </c>
      <c r="N95">
        <f>metrics_log[[#This Row],[clip_sub_v2]]-metrics_log[[#This Row],[clip_sub_v1]]</f>
        <v>-6.25E-2</v>
      </c>
      <c r="O95">
        <f>metrics_log[[#This Row],[sharpness_v2]]-metrics_log[[#This Row],[sharpness_v1]]</f>
        <v>-311.21000000000004</v>
      </c>
    </row>
    <row r="96" spans="1:15" x14ac:dyDescent="0.35">
      <c r="A96">
        <v>16</v>
      </c>
      <c r="B96">
        <v>4.1313945067723566E+18</v>
      </c>
      <c r="C96" s="1" t="s">
        <v>43</v>
      </c>
      <c r="D96" s="1" t="s">
        <v>44</v>
      </c>
      <c r="E96">
        <v>0.36320000000000002</v>
      </c>
      <c r="F96">
        <v>0.32869999999999999</v>
      </c>
      <c r="G96">
        <v>0.28749999999999998</v>
      </c>
      <c r="H96">
        <v>0.34079999999999999</v>
      </c>
      <c r="I96">
        <v>0.56000000000000005</v>
      </c>
      <c r="J96">
        <v>0.33119999999999999</v>
      </c>
      <c r="K96">
        <v>872.68</v>
      </c>
      <c r="L96">
        <v>560.04999999999995</v>
      </c>
      <c r="M96">
        <v>0.76359999999999995</v>
      </c>
      <c r="N96">
        <f>metrics_log[[#This Row],[clip_sub_v2]]-metrics_log[[#This Row],[clip_sub_v1]]</f>
        <v>-3.4500000000000031E-2</v>
      </c>
      <c r="O96">
        <f>metrics_log[[#This Row],[sharpness_v2]]-metrics_log[[#This Row],[sharpness_v1]]</f>
        <v>-312.63</v>
      </c>
    </row>
    <row r="97" spans="1:15" x14ac:dyDescent="0.35">
      <c r="A97">
        <v>41</v>
      </c>
      <c r="B97">
        <v>6.6720224120584673E+18</v>
      </c>
      <c r="C97" s="1" t="s">
        <v>93</v>
      </c>
      <c r="D97" s="1" t="s">
        <v>94</v>
      </c>
      <c r="E97">
        <v>0.3478</v>
      </c>
      <c r="F97">
        <v>0.33900000000000002</v>
      </c>
      <c r="G97">
        <v>0.2742</v>
      </c>
      <c r="H97">
        <v>0.31509999999999999</v>
      </c>
      <c r="I97">
        <v>0.55079999999999996</v>
      </c>
      <c r="J97">
        <v>0.35680000000000001</v>
      </c>
      <c r="K97">
        <v>824.03</v>
      </c>
      <c r="L97">
        <v>484.46</v>
      </c>
      <c r="M97">
        <v>0.75639999999999996</v>
      </c>
      <c r="N97">
        <f>metrics_log[[#This Row],[clip_sub_v2]]-metrics_log[[#This Row],[clip_sub_v1]]</f>
        <v>-8.7999999999999745E-3</v>
      </c>
      <c r="O97">
        <f>metrics_log[[#This Row],[sharpness_v2]]-metrics_log[[#This Row],[sharpness_v1]]</f>
        <v>-339.57</v>
      </c>
    </row>
    <row r="98" spans="1:15" x14ac:dyDescent="0.35">
      <c r="A98">
        <v>22</v>
      </c>
      <c r="B98">
        <v>2.0647954337441687E+18</v>
      </c>
      <c r="C98" s="1" t="s">
        <v>55</v>
      </c>
      <c r="D98" s="1" t="s">
        <v>56</v>
      </c>
      <c r="E98">
        <v>0.36899999999999999</v>
      </c>
      <c r="F98">
        <v>0.33250000000000002</v>
      </c>
      <c r="G98">
        <v>0.25919999999999999</v>
      </c>
      <c r="H98">
        <v>0.35</v>
      </c>
      <c r="I98">
        <v>0.64980000000000004</v>
      </c>
      <c r="J98">
        <v>0.32479999999999998</v>
      </c>
      <c r="K98">
        <v>810.59</v>
      </c>
      <c r="L98">
        <v>458.21</v>
      </c>
      <c r="M98">
        <v>0.79620000000000002</v>
      </c>
      <c r="N98">
        <f>metrics_log[[#This Row],[clip_sub_v2]]-metrics_log[[#This Row],[clip_sub_v1]]</f>
        <v>-3.6499999999999977E-2</v>
      </c>
      <c r="O98">
        <f>metrics_log[[#This Row],[sharpness_v2]]-metrics_log[[#This Row],[sharpness_v1]]</f>
        <v>-352.38000000000005</v>
      </c>
    </row>
    <row r="99" spans="1:15" x14ac:dyDescent="0.35">
      <c r="A99">
        <v>96</v>
      </c>
      <c r="B99">
        <v>6.7545447415161098E+18</v>
      </c>
      <c r="C99" s="1" t="s">
        <v>203</v>
      </c>
      <c r="D99" s="1" t="s">
        <v>204</v>
      </c>
      <c r="E99">
        <v>0.33960000000000001</v>
      </c>
      <c r="F99">
        <v>0.31890000000000002</v>
      </c>
      <c r="G99">
        <v>0.25540000000000002</v>
      </c>
      <c r="H99">
        <v>0.315</v>
      </c>
      <c r="I99">
        <v>0.63229999999999997</v>
      </c>
      <c r="J99">
        <v>0.33500000000000002</v>
      </c>
      <c r="K99">
        <v>968.56</v>
      </c>
      <c r="L99">
        <v>543.22</v>
      </c>
      <c r="M99">
        <v>0.83699999999999997</v>
      </c>
      <c r="N99">
        <f>metrics_log[[#This Row],[clip_sub_v2]]-metrics_log[[#This Row],[clip_sub_v1]]</f>
        <v>-2.0699999999999996E-2</v>
      </c>
      <c r="O99">
        <f>metrics_log[[#This Row],[sharpness_v2]]-metrics_log[[#This Row],[sharpness_v1]]</f>
        <v>-425.33999999999992</v>
      </c>
    </row>
    <row r="100" spans="1:15" x14ac:dyDescent="0.35">
      <c r="A100">
        <v>67</v>
      </c>
      <c r="B100">
        <v>3.7693832123906775E+18</v>
      </c>
      <c r="C100" s="1" t="s">
        <v>145</v>
      </c>
      <c r="D100" s="1" t="s">
        <v>146</v>
      </c>
      <c r="E100">
        <v>0.38109999999999999</v>
      </c>
      <c r="F100">
        <v>0.3095</v>
      </c>
      <c r="G100">
        <v>0.29149999999999998</v>
      </c>
      <c r="H100">
        <v>0.32279999999999998</v>
      </c>
      <c r="I100">
        <v>0.53069999999999995</v>
      </c>
      <c r="J100">
        <v>0.33119999999999999</v>
      </c>
      <c r="K100">
        <v>1194.8599999999999</v>
      </c>
      <c r="L100">
        <v>696.64</v>
      </c>
      <c r="M100">
        <v>0.75119999999999998</v>
      </c>
      <c r="N100">
        <f>metrics_log[[#This Row],[clip_sub_v2]]-metrics_log[[#This Row],[clip_sub_v1]]</f>
        <v>-7.1599999999999997E-2</v>
      </c>
      <c r="O100">
        <f>metrics_log[[#This Row],[sharpness_v2]]-metrics_log[[#This Row],[sharpness_v1]]</f>
        <v>-498.21999999999991</v>
      </c>
    </row>
    <row r="101" spans="1:15" x14ac:dyDescent="0.35">
      <c r="A101">
        <v>58</v>
      </c>
      <c r="B101">
        <v>4.4752529871040681E+18</v>
      </c>
      <c r="C101" s="1" t="s">
        <v>127</v>
      </c>
      <c r="D101" s="1" t="s">
        <v>128</v>
      </c>
      <c r="E101">
        <v>0.38390000000000002</v>
      </c>
      <c r="F101">
        <v>0.30570000000000003</v>
      </c>
      <c r="G101">
        <v>0.27600000000000002</v>
      </c>
      <c r="H101">
        <v>0.29849999999999999</v>
      </c>
      <c r="I101">
        <v>0.67220000000000002</v>
      </c>
      <c r="J101">
        <v>0.27239999999999998</v>
      </c>
      <c r="K101">
        <v>1289.99</v>
      </c>
      <c r="L101">
        <v>781.78</v>
      </c>
      <c r="M101">
        <v>0.82940000000000003</v>
      </c>
      <c r="N101">
        <f>metrics_log[[#This Row],[clip_sub_v2]]-metrics_log[[#This Row],[clip_sub_v1]]</f>
        <v>-7.8199999999999992E-2</v>
      </c>
      <c r="O101">
        <f>metrics_log[[#This Row],[sharpness_v2]]-metrics_log[[#This Row],[sharpness_v1]]</f>
        <v>-508.21000000000004</v>
      </c>
    </row>
    <row r="102" spans="1:15" x14ac:dyDescent="0.35">
      <c r="C102" s="1"/>
      <c r="D102" s="1"/>
      <c r="E102">
        <f t="shared" ref="E102:F102" si="0">AVERAGE(E2:E101)</f>
        <v>0.36059699999999978</v>
      </c>
      <c r="F102">
        <f t="shared" si="0"/>
        <v>0.32397700000000007</v>
      </c>
      <c r="G102">
        <f>AVERAGE(G2:G101)</f>
        <v>0.29240599999999989</v>
      </c>
      <c r="H102">
        <f>AVERAGE(H2:H101)</f>
        <v>0.32993600000000001</v>
      </c>
      <c r="I102">
        <f>AVERAGE(I2:I101)</f>
        <v>0.55215700000000023</v>
      </c>
      <c r="J102">
        <f>AVERAGE(J2:J101)</f>
        <v>0.3753490000000001</v>
      </c>
      <c r="K102">
        <f t="shared" ref="K102:L102" si="1">AVERAGE(K2:K101)</f>
        <v>545.0220999999998</v>
      </c>
      <c r="L102">
        <f t="shared" si="1"/>
        <v>554.26060000000007</v>
      </c>
      <c r="M102">
        <f>AVERAGE(M2:M101)</f>
        <v>0.78211699999999984</v>
      </c>
      <c r="N102" s="1"/>
      <c r="O102" s="1"/>
    </row>
    <row r="103" spans="1:15" x14ac:dyDescent="0.35">
      <c r="F103">
        <f>metrics_log[[#Totals],[clip_sub_v2]]-metrics_log[[#Totals],[clip_sub_v1]]</f>
        <v>-3.6619999999999708E-2</v>
      </c>
      <c r="H103">
        <f>metrics_log[[#Totals],[clip_sty_v2]]-metrics_log[[#Totals],[clip_sty_v1]]</f>
        <v>3.7530000000000119E-2</v>
      </c>
      <c r="L103">
        <f>metrics_log[[#Totals],[sharpness_v2]]-metrics_log[[#Totals],[sharpness_v1]]</f>
        <v>9.2385000000002719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3C90AF-AD2F-4DE4-AECE-3B4D2C906B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Toly Kim</dc:creator>
  <cp:lastModifiedBy>Toly Kim</cp:lastModifiedBy>
  <dcterms:created xsi:type="dcterms:W3CDTF">2026-03-12T12:12:42Z</dcterms:created>
  <dcterms:modified xsi:type="dcterms:W3CDTF">2026-04-06T06:43:35Z</dcterms:modified>
</cp:coreProperties>
</file>