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\proj\Comfy\comfyui_api_backend\apiBackend\reports\plain_cat_2\"/>
    </mc:Choice>
  </mc:AlternateContent>
  <xr:revisionPtr revIDLastSave="0" documentId="13_ncr:9_{A0777DC3-B113-426E-A45B-502FBC980315}" xr6:coauthVersionLast="47" xr6:coauthVersionMax="47" xr10:uidLastSave="{00000000-0000-0000-0000-000000000000}"/>
  <bookViews>
    <workbookView xWindow="-110" yWindow="-110" windowWidth="25820" windowHeight="15500" xr2:uid="{48522702-6676-4FA9-8206-0E5AB110FBC3}"/>
  </bookViews>
  <sheets>
    <sheet name="metrics_lo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5" i="1" l="1"/>
  <c r="H5" i="1"/>
  <c r="F5" i="1"/>
  <c r="I4" i="1"/>
  <c r="J4" i="1"/>
  <c r="K4" i="1"/>
  <c r="L4" i="1"/>
  <c r="M4" i="1"/>
  <c r="F4" i="1"/>
  <c r="G4" i="1"/>
  <c r="H4" i="1"/>
  <c r="E4" i="1"/>
</calcChain>
</file>

<file path=xl/sharedStrings.xml><?xml version="1.0" encoding="utf-8"?>
<sst xmlns="http://schemas.openxmlformats.org/spreadsheetml/2006/main" count="19" uniqueCount="19">
  <si>
    <t>run_id</t>
  </si>
  <si>
    <t>seed</t>
  </si>
  <si>
    <t>img_v1</t>
  </si>
  <si>
    <t>img_v2</t>
  </si>
  <si>
    <t>clip_sub_v1</t>
  </si>
  <si>
    <t>clip_sub_v2</t>
  </si>
  <si>
    <t>clip_sty_v1</t>
  </si>
  <si>
    <t>clip_sty_v2</t>
  </si>
  <si>
    <t>lpips</t>
  </si>
  <si>
    <t>ssim</t>
  </si>
  <si>
    <t>sharpness_v1</t>
  </si>
  <si>
    <t>sharpness_v2</t>
  </si>
  <si>
    <t>color_dist</t>
  </si>
  <si>
    <t>G:\My Drive\ComfyUI\output\steps_15_00001_.png</t>
  </si>
  <si>
    <t>G:\My Drive\ComfyUI\output\steps_60_00004_.png</t>
  </si>
  <si>
    <t>G:\My Drive\ComfyUI\output\steps_15_00003_.png</t>
  </si>
  <si>
    <t>G:\My Drive\ComfyUI\output\steps_60_00006_.png</t>
  </si>
  <si>
    <t>Delta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</si>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</sst>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A792-302B-4DB5-8003-71BFDCBAA967}">
  <dimension ref="A1:M5"/>
  <sheetViews>
    <sheetView tabSelected="1" zoomScale="190" zoomScaleNormal="190" workbookViewId="0">
      <selection activeCell="L1" sqref="L1"/>
    </sheetView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>
        <v>9.1940049824351703E+18</v>
      </c>
      <c r="C2" t="s">
        <v>13</v>
      </c>
      <c r="D2" t="s">
        <v>14</v>
      </c>
      <c r="E2">
        <v>0.29039999999999999</v>
      </c>
      <c r="F2">
        <v>0.33539999999999998</v>
      </c>
      <c r="G2">
        <v>0.24679999999999999</v>
      </c>
      <c r="H2">
        <v>0.22689999999999999</v>
      </c>
      <c r="I2">
        <v>0.41489999999999999</v>
      </c>
      <c r="J2">
        <v>0.22639999999999999</v>
      </c>
      <c r="K2">
        <v>275.5</v>
      </c>
      <c r="L2">
        <v>176.68</v>
      </c>
      <c r="M2">
        <v>0.82089999999999996</v>
      </c>
    </row>
    <row r="3" spans="1:13" x14ac:dyDescent="0.35">
      <c r="A3">
        <v>2</v>
      </c>
      <c r="B3">
        <v>5.8008923147740396E+18</v>
      </c>
      <c r="C3" t="s">
        <v>15</v>
      </c>
      <c r="D3" t="s">
        <v>16</v>
      </c>
      <c r="E3">
        <v>0.30330000000000001</v>
      </c>
      <c r="F3">
        <v>0.33679999999999999</v>
      </c>
      <c r="G3">
        <v>0.25330000000000003</v>
      </c>
      <c r="H3">
        <v>0.25590000000000002</v>
      </c>
      <c r="I3">
        <v>0.34649999999999997</v>
      </c>
      <c r="J3">
        <v>0.3478</v>
      </c>
      <c r="K3">
        <v>114.97</v>
      </c>
      <c r="L3">
        <v>103.53</v>
      </c>
      <c r="M3">
        <v>0.82350000000000001</v>
      </c>
    </row>
    <row r="4" spans="1:13" x14ac:dyDescent="0.35">
      <c r="D4" t="s">
        <v>18</v>
      </c>
      <c r="E4">
        <f>AVERAGE(E2:E3)</f>
        <v>0.29685</v>
      </c>
      <c r="F4">
        <f t="shared" ref="F4:H4" si="0">AVERAGE(F2:F3)</f>
        <v>0.33609999999999995</v>
      </c>
      <c r="G4">
        <f t="shared" si="0"/>
        <v>0.25004999999999999</v>
      </c>
      <c r="H4">
        <f t="shared" si="0"/>
        <v>0.2414</v>
      </c>
      <c r="I4">
        <f t="shared" ref="I4" si="1">AVERAGE(I2:I3)</f>
        <v>0.38069999999999998</v>
      </c>
      <c r="J4">
        <f t="shared" ref="J4" si="2">AVERAGE(J2:J3)</f>
        <v>0.28710000000000002</v>
      </c>
      <c r="K4">
        <f t="shared" ref="K4" si="3">AVERAGE(K2:K3)</f>
        <v>195.23500000000001</v>
      </c>
      <c r="L4">
        <f t="shared" ref="L4" si="4">AVERAGE(L2:L3)</f>
        <v>140.10500000000002</v>
      </c>
      <c r="M4">
        <f t="shared" ref="M4" si="5">AVERAGE(M2:M3)</f>
        <v>0.82220000000000004</v>
      </c>
    </row>
    <row r="5" spans="1:13" x14ac:dyDescent="0.35">
      <c r="E5" t="s">
        <v>17</v>
      </c>
      <c r="F5" s="1">
        <f>F4-E4</f>
        <v>3.9249999999999952E-2</v>
      </c>
      <c r="H5" s="1">
        <f>H4-G4</f>
        <v>-8.649999999999991E-3</v>
      </c>
      <c r="L5" s="1">
        <f>L4-K4</f>
        <v>-55.129999999999995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metrics_log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Toly Kim</dc:creator>
  <cp:lastModifiedBy>Toly Kim</cp:lastModifiedBy>
  <dcterms:created xsi:type="dcterms:W3CDTF">2026-04-13T11:41:49Z</dcterms:created>
  <dcterms:modified xsi:type="dcterms:W3CDTF">2026-04-13T13:19:51Z</dcterms:modified>
</cp:coreProperties>
</file>